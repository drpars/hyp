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drpars\Desktop\"/>
    </mc:Choice>
  </mc:AlternateContent>
  <xr:revisionPtr revIDLastSave="0" documentId="13_ncr:1_{9292516D-BC80-4F2A-A0E2-41F8F3426B6F}" xr6:coauthVersionLast="47" xr6:coauthVersionMax="47" xr10:uidLastSave="{00000000-0000-0000-0000-000000000000}"/>
  <bookViews>
    <workbookView xWindow="5910" yWindow="1395" windowWidth="28800" windowHeight="16470" xr2:uid="{352CC28A-44C7-40E8-AEA8-09C5434E93D4}"/>
  </bookViews>
  <sheets>
    <sheet name="HYP" sheetId="1" r:id="rId1"/>
    <sheet name="Hesap" sheetId="10" state="hidden" r:id="rId2"/>
    <sheet name="Data - Sina" sheetId="5" state="hidden" r:id="rId3"/>
    <sheet name="Data - Hyp" sheetId="6" state="hidden" r:id="rId4"/>
    <sheet name="Betikler" sheetId="9" state="hidden" r:id="rId5"/>
  </sheets>
  <functionGroups builtInGroupCount="19"/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" l="1"/>
  <c r="I19" i="1"/>
  <c r="I18" i="1"/>
  <c r="I17" i="1"/>
  <c r="I16" i="1"/>
  <c r="I15" i="1"/>
  <c r="I14" i="1"/>
  <c r="I13" i="1"/>
  <c r="I8" i="1"/>
  <c r="I7" i="1"/>
  <c r="I6" i="1"/>
  <c r="I5" i="1"/>
  <c r="D17" i="10"/>
  <c r="D15" i="10"/>
  <c r="D16" i="10"/>
  <c r="D3" i="10"/>
  <c r="D4" i="10"/>
  <c r="D5" i="10"/>
  <c r="D6" i="10"/>
  <c r="D10" i="10"/>
  <c r="D11" i="10"/>
  <c r="D12" i="10"/>
  <c r="D13" i="10"/>
  <c r="D14" i="10"/>
  <c r="J19" i="1"/>
  <c r="H19" i="1"/>
  <c r="J18" i="1"/>
  <c r="H18" i="1"/>
  <c r="J17" i="1"/>
  <c r="H17" i="1"/>
  <c r="H5" i="1"/>
  <c r="H6" i="1"/>
  <c r="J16" i="1"/>
  <c r="H16" i="1"/>
  <c r="J15" i="1"/>
  <c r="H15" i="1"/>
  <c r="J14" i="1"/>
  <c r="H14" i="1"/>
  <c r="J13" i="1"/>
  <c r="H13" i="1"/>
  <c r="J12" i="1"/>
  <c r="H12" i="1"/>
  <c r="J11" i="1"/>
  <c r="I11" i="1"/>
  <c r="H11" i="1"/>
  <c r="J10" i="1"/>
  <c r="I10" i="1"/>
  <c r="H10" i="1"/>
  <c r="J9" i="1"/>
  <c r="I9" i="1"/>
  <c r="H9" i="1"/>
  <c r="J8" i="1"/>
  <c r="H8" i="1"/>
  <c r="J7" i="1"/>
  <c r="H7" i="1"/>
  <c r="J6" i="1"/>
  <c r="J5" i="1"/>
  <c r="D10" i="1"/>
  <c r="L10" i="1" l="1"/>
  <c r="L11" i="1"/>
  <c r="O13" i="1"/>
  <c r="O14" i="1"/>
  <c r="L17" i="1"/>
  <c r="H15" i="10" s="1"/>
  <c r="L18" i="1"/>
  <c r="K18" i="1" s="1"/>
  <c r="L19" i="1"/>
  <c r="M19" i="1" s="1"/>
  <c r="O9" i="1"/>
  <c r="O10" i="1"/>
  <c r="L5" i="1"/>
  <c r="H3" i="10" s="1"/>
  <c r="O11" i="1"/>
  <c r="L7" i="1"/>
  <c r="L9" i="1"/>
  <c r="L8" i="1"/>
  <c r="O12" i="1"/>
  <c r="L16" i="1"/>
  <c r="L6" i="1"/>
  <c r="H4" i="10" s="1"/>
  <c r="O15" i="1"/>
  <c r="I13" i="10" s="1"/>
  <c r="O19" i="1"/>
  <c r="O18" i="1"/>
  <c r="O17" i="1"/>
  <c r="O16" i="1"/>
  <c r="L15" i="1"/>
  <c r="L14" i="1"/>
  <c r="L13" i="1"/>
  <c r="L12" i="1"/>
  <c r="O8" i="1"/>
  <c r="I6" i="10" s="1"/>
  <c r="O7" i="1"/>
  <c r="O6" i="1"/>
  <c r="I4" i="10" s="1"/>
  <c r="O5" i="1"/>
  <c r="I3" i="10" s="1"/>
  <c r="K17" i="1" l="1"/>
  <c r="M17" i="1"/>
  <c r="M18" i="1"/>
  <c r="H16" i="10"/>
  <c r="H17" i="10"/>
  <c r="K19" i="1"/>
  <c r="K5" i="1"/>
  <c r="P19" i="1"/>
  <c r="I17" i="10"/>
  <c r="P18" i="1"/>
  <c r="I16" i="10"/>
  <c r="P17" i="1"/>
  <c r="I15" i="10"/>
  <c r="H8" i="10"/>
  <c r="I8" i="10"/>
  <c r="H7" i="10"/>
  <c r="I7" i="10"/>
  <c r="H9" i="10"/>
  <c r="M11" i="1" s="1"/>
  <c r="I9" i="10"/>
  <c r="H10" i="10"/>
  <c r="M12" i="1" s="1"/>
  <c r="I10" i="10"/>
  <c r="H12" i="10"/>
  <c r="M14" i="1" s="1"/>
  <c r="I12" i="10"/>
  <c r="P14" i="1" s="1"/>
  <c r="H14" i="10"/>
  <c r="M16" i="1" s="1"/>
  <c r="I14" i="10"/>
  <c r="P16" i="1" s="1"/>
  <c r="H5" i="10"/>
  <c r="M7" i="1" s="1"/>
  <c r="H11" i="10"/>
  <c r="M13" i="1" s="1"/>
  <c r="I11" i="10"/>
  <c r="M6" i="1"/>
  <c r="M5" i="1"/>
  <c r="K8" i="1"/>
  <c r="H6" i="10"/>
  <c r="M8" i="1" s="1"/>
  <c r="K15" i="1"/>
  <c r="H13" i="10"/>
  <c r="M15" i="1" s="1"/>
  <c r="P8" i="1"/>
  <c r="K7" i="1"/>
  <c r="K13" i="1"/>
  <c r="K16" i="1"/>
  <c r="K6" i="1"/>
  <c r="K14" i="1"/>
  <c r="K12" i="1"/>
  <c r="M9" i="1"/>
  <c r="K9" i="1"/>
  <c r="K10" i="1"/>
  <c r="K11" i="1"/>
  <c r="M10" i="1"/>
  <c r="P15" i="1"/>
  <c r="D11" i="1" l="1"/>
  <c r="P10" i="1"/>
  <c r="P11" i="1"/>
  <c r="P9" i="1"/>
  <c r="P12" i="1"/>
  <c r="P13" i="1"/>
  <c r="P6" i="1"/>
  <c r="P5" i="1" l="1"/>
  <c r="I5" i="10"/>
  <c r="P7" i="1" s="1"/>
  <c r="D12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<sst xmlns="http://schemas.openxmlformats.org/spreadsheetml/2006/main" count="159" uniqueCount="105">
  <si>
    <t>Diyabet Taraması</t>
  </si>
  <si>
    <t>Gereken</t>
  </si>
  <si>
    <t>Yapılan</t>
  </si>
  <si>
    <t>Hipertansiyon İzlem</t>
  </si>
  <si>
    <t>Durum</t>
  </si>
  <si>
    <t>Nüfus</t>
  </si>
  <si>
    <t>azami</t>
  </si>
  <si>
    <t>asgari</t>
  </si>
  <si>
    <t>Süreç Yönetimi</t>
  </si>
  <si>
    <t>Hastalık/İşlem</t>
  </si>
  <si>
    <t>Çankırı Merkez 20 Nolu AHB - Çankırı</t>
  </si>
  <si>
    <t>DİYABET TARAMASI</t>
  </si>
  <si>
    <t>Evet</t>
  </si>
  <si>
    <t>DİYABET İZLEMİ</t>
  </si>
  <si>
    <t>HİPERTANSİYON TARAMASI</t>
  </si>
  <si>
    <t>HİPERTANSİYON İZLEM</t>
  </si>
  <si>
    <t>KANSER KOLOREKTAL TARAMASI</t>
  </si>
  <si>
    <t>KANSER MAMOGRAFİ TARAMASI</t>
  </si>
  <si>
    <t>KANSER SERVİKS TARAMASI</t>
  </si>
  <si>
    <t>KORONERARTER İZLEMİ</t>
  </si>
  <si>
    <t>KRONİK BOBREK İZLEMİ</t>
  </si>
  <si>
    <t>KVR TARAMASI</t>
  </si>
  <si>
    <t>KVR İZLEMİ</t>
  </si>
  <si>
    <t>OBEZİTE TARAMASI</t>
  </si>
  <si>
    <t>OBEZİTE İZLEMİ</t>
  </si>
  <si>
    <t>YAŞLI SAĞLIĞI İZLEMİ</t>
  </si>
  <si>
    <t>İNME İZLEMİ</t>
  </si>
  <si>
    <t>Hipertansiyon Taraması</t>
  </si>
  <si>
    <t>Kanser Kolorektal Taraması</t>
  </si>
  <si>
    <t>Kanser Mamografi Taraması</t>
  </si>
  <si>
    <t>Kanser Serviks Taraması</t>
  </si>
  <si>
    <t>KVR Taraması</t>
  </si>
  <si>
    <t>Obezite Taraması</t>
  </si>
  <si>
    <t>Yaşlı Sağlığı İzlemi</t>
  </si>
  <si>
    <t>Obezite İzlemi</t>
  </si>
  <si>
    <t>Diyabet İzlemi</t>
  </si>
  <si>
    <t>Gerçekleşme
Oranı</t>
  </si>
  <si>
    <t>Yeni Katsayı</t>
  </si>
  <si>
    <t>yeni katsayı</t>
  </si>
  <si>
    <t>katsayı</t>
  </si>
  <si>
    <t>Mevcut Katsayı</t>
  </si>
  <si>
    <t>asgari altı</t>
  </si>
  <si>
    <t>x</t>
  </si>
  <si>
    <t>y</t>
  </si>
  <si>
    <t>KVR İzlemi</t>
  </si>
  <si>
    <t>% 50,0</t>
  </si>
  <si>
    <t>% 11,1</t>
  </si>
  <si>
    <t>% 66,7</t>
  </si>
  <si>
    <t>% 81,2</t>
  </si>
  <si>
    <t>javascript:(function(){    /* Sayfadaki tüm kartları bul */    const cardElements = document.querySelectorAll('.population-target-analysis .content-sub');    let data = [];        cardElements.forEach(card =&gt; {        const title = card.querySelector('.title')?.textContent.trim() || "";        const value = card.querySelector('.performance-statistics-value')?.textContent.trim() || "0";        data.push(`${title}: ${value}`);    });        /* Sonuçları göster ve kopyala */    alert("Bulunan Veriler:\n" + data.join("\n"));    const el = document.createElement('textarea');    el.value = data.join("\n");    document.body.appendChild(el);    el.select();    document.execCommand('copy');    document.body.removeChild(el);})();</t>
  </si>
  <si>
    <t>HİPERTANSİYON TARAMA</t>
  </si>
  <si>
    <t>KARDİYOVASKÜLER RİSK TARAMA</t>
  </si>
  <si>
    <t>KARDİYOVASKÜLER RİSK İZLEM</t>
  </si>
  <si>
    <t>DİYABET TARAMA</t>
  </si>
  <si>
    <t>DİYABET İZLEM</t>
  </si>
  <si>
    <t>OBEZİTE TARAMA</t>
  </si>
  <si>
    <t>OBEZİTE İZLEM (AİLE HEKİMİ)</t>
  </si>
  <si>
    <t>KORONER ARTER HASTALIĞI İZLEM</t>
  </si>
  <si>
    <t>YAŞLI DEĞERLENDİRME İZLEM</t>
  </si>
  <si>
    <t>İNME İZLEM</t>
  </si>
  <si>
    <t>KRONİK BÖBREK HASTALIĞI İZLEM</t>
  </si>
  <si>
    <t>KRONİK OBSTRÜKTİF AKCİĞER HASTALIĞI İZLEM</t>
  </si>
  <si>
    <t>ASTIM İZLEM</t>
  </si>
  <si>
    <t>OSB TARAMA</t>
  </si>
  <si>
    <t>javascript:(function(){    let headers = ["Hastalık/İşlem", "Yapılan"];    /* Sadece veri içeren satırları seçmeye çalışıyoruz */    let rows = document.querySelectorAll('tr[role="row"], tbody tr');    let data = [headers.join("\t")];    let foundAnyData = false;    rows.forEach(row =&gt; {        let cells = row.querySelectorAll('td, [role="gridcell"]');        /* Satırda hücre var mı ve boş değil mi kontrolü */        if (cells.length &gt; 0) {            let rowText = Array.from(cells).map(c =&gt; c.textContent.trim()).join("\t");            /* Eğer satır içeriği tamamen boş değilse ekle */            if (rowText.replace(/\t/g, "").length &gt; 0) {                data.push(rowText);                foundAnyData = true;            }        }    });    /* Veri bulunamadıysa kullanıcıyı uyar ve çık */    if (!foundAnyData) {        alert("❌ Kopyalanacak tablo verisi bulunamadı!\nLütfen tablonun görünür olduğundan emin olun.");        return;    }    /* Veri varsa kopyalama işlemine geç */    const el = document.createElement('textarea');    el.value = data.join("\n");    document.body.appendChild(el);    el.select();    document.execCommand('copy');    document.body.removeChild(el);        alert("✅ " + (data.length - 1) + " satır veri kopyalandı!\nExcel'e gidip CTRL+V yapabilirsiniz.");})();</t>
  </si>
  <si>
    <t>HYP Verilerini Dahil Et</t>
  </si>
  <si>
    <t>hyp veri</t>
  </si>
  <si>
    <t>Tavan Katsayı</t>
  </si>
  <si>
    <t>Ay</t>
  </si>
  <si>
    <t>Yıl</t>
  </si>
  <si>
    <t>Birim ID</t>
  </si>
  <si>
    <t>sina</t>
  </si>
  <si>
    <t>Tampermonkey ile yapılacak kodlar</t>
  </si>
  <si>
    <t>hyp</t>
  </si>
  <si>
    <t>yerimi - sina</t>
  </si>
  <si>
    <t>yerimi - hyp</t>
  </si>
  <si>
    <t>Yerimi Yöntemi</t>
  </si>
  <si>
    <t>Başarılı</t>
  </si>
  <si>
    <t>% 87,5</t>
  </si>
  <si>
    <t>% 83,3</t>
  </si>
  <si>
    <t>% 116,7</t>
  </si>
  <si>
    <t>Devreden</t>
  </si>
  <si>
    <t>Tahmini Gereken</t>
  </si>
  <si>
    <t>Tahmini Katsayı</t>
  </si>
  <si>
    <t>% 233,3</t>
  </si>
  <si>
    <t>% 816,7</t>
  </si>
  <si>
    <t>% 171,4</t>
  </si>
  <si>
    <t>% 428,6</t>
  </si>
  <si>
    <t>% 92,9</t>
  </si>
  <si>
    <t>% 182,1</t>
  </si>
  <si>
    <t>% 70,0</t>
  </si>
  <si>
    <t>% 91,4</t>
  </si>
  <si>
    <t>% 80,6</t>
  </si>
  <si>
    <t>% 94,0</t>
  </si>
  <si>
    <t>% 76,2</t>
  </si>
  <si>
    <t>% 33,3</t>
  </si>
  <si>
    <t>% 48,3</t>
  </si>
  <si>
    <t>Koronerarter İzlemi</t>
  </si>
  <si>
    <t>Kronik Böbrek İzlemi</t>
  </si>
  <si>
    <t>İnme İzlemi</t>
  </si>
  <si>
    <t>Kronik Bobrek İzlemi</t>
  </si>
  <si>
    <t>Yeni
Oran</t>
  </si>
  <si>
    <t>MART</t>
  </si>
  <si>
    <t>// ==UserScript==
// @name         HYP Otomatik Sekme ve Veri Çekici
// @namespace    http://tampermonkey.net/
// @version      1.0.0
// @description  HYP dashboard verilerini otomatik sekmeye geçerek kopyalar.
// @author       drpars
// @match        https://hyp.saglik.gov.tr/dashboard*
// @grant        none
// ==/UserScript==
(function() {
    'use strict';
    if (window.location.hash === "#kopyala") {
        const checkTabExist = setInterval(function() {
            const targetTab = document.querySelector('a[id="5"]');
            if (targetTab) {
                targetTab.click();
                clearInterval(checkTabExist);
                // Sayfada ilk tıklamayı bekleyen mekanizmayı kur
                setupAutoCopyOnclick();
            }
        }, 500);
    }
    function setupAutoCopyOnclick() {
        // Kullanıcı sayfada herhangi bir yere tıkladığı an çalışacak
        const copyHandler = async () =&gt; {
            const cardElements = document.querySelectorAll('.population-target-analysis .content-sub');
            let dataLines = [];
            cardElements.forEach(card =&gt; {
                const title = card.querySelector('.title')?.textContent.trim() || "Başlıksız";
                const value = card.querySelector('.performance-statistics-value')?.textContent.trim() || "0";
                dataLines.push(`${title}\t${value}`);
            });
            if (dataLines.length &gt; 0) {
                const finalResult = dataLines.join("\n");
                try {
                    await navigator.clipboard.writeText(finalResult);
                    alert("✅ BAŞARILI!\n" + dataLines.length + " satır veri kopyalandı.");
                    // Bir kez çalıştıktan sonra dinleyiciyi kaldır
                    document.removeEventListener('click', copyHandler);
                } catch (err) {
                    console.log("Kopyalama hala engelleniyor.");
                }
            }
        };
        // Sayfa geneline tıklama dinleyicisi ekle
        document.addEventListener('click', copyHandler);
        // Kullanıcıyı bilgilendirmek için küçük bir not (Opsiyonel)
        console.log("Veriler hazır. Kopyalamak için sayfanın herhangi bir yerine bir kez tıklayın.");
    }
})();</t>
  </si>
  <si>
    <t>// ==UserScript==
// @name         SİNA Otomatik Tablo Çekici
// @namespace    http://tampermonkey.net/
// @version      1.0.0
// @description  HYP dashboard verilerini otomatik sekmeye geçerek kopyalar.
// @author       drpars
// @match        https://sina.saglik.gov.tr/*
// @grant        none
// ==/UserScript==
(function() {
    'use strict';
    // EMNİYET KİLİDİ: Sadece URL sonunda #kopyala varsa çalışır
    if (window.location.hash === "#kopyala") {
        console.log("SİNA Otomasyonu Aktif: Kopyalamak için bir kez tıklayın.");
        const copySinaTable = async () =&gt; {
            let headers = ["Hastalık/İşlem", "Yapılan"];
            let rows = document.querySelectorAll('tr[role="row"], tbody tr');
            let data = [headers.join("\t")];
            let foundAnyData = false;
            rows.forEach(row =&gt; {
                let cells = row.querySelectorAll('td, [role="gridcell"]');
                if (cells.length &gt; 0) {
                    let rowText = Array.from(cells).map(c =&gt; c.textContent.trim()).join("\t");
                    if (rowText.replace(/\t/g, "").length &gt; 0) {
                        data.push(rowText);
                        foundAnyData = true;
                    }
                }
            });
            if (foundAnyData) {
                const finalResult = data.join("\n");
                try {
                    await navigator.clipboard.writeText(finalResult);
                    alert("✅ SİNA VERİLERİ KOPYALANDI!\n" + (data.length - 1) + " satır tablo verisi alındı.");
                    // İşlem bittikten sonra dinleyiciyi kaldır
                    document.removeEventListener('click', copySinaTable);
                } catch (err) {
                    alert("Kopyalama başarısız, lütfen sayfaya tekrar tıklayın.");
                }
            }
        };
        // Sayfada herhangi bir yere ilk tıklamayı bekler
        document.addEventListener('click', copySinaTable);
    }
})();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</si>
</sst>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#,##0.00000"/>
  </numFmts>
  <fonts count="9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7"/>
      <color theme="0"/>
      <name val="Algerian"/>
      <family val="5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-0.49998474074526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9" fontId="0" fillId="2" borderId="3" xfId="1" applyFont="1" applyFill="1" applyBorder="1" applyAlignment="1">
      <alignment horizontal="center" vertical="center"/>
    </xf>
    <xf numFmtId="166" fontId="0" fillId="2" borderId="17" xfId="1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9" fontId="0" fillId="2" borderId="6" xfId="1" applyFont="1" applyFill="1" applyBorder="1" applyAlignment="1">
      <alignment horizontal="center" vertical="center"/>
    </xf>
    <xf numFmtId="166" fontId="0" fillId="2" borderId="18" xfId="1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/>
    <xf numFmtId="165" fontId="3" fillId="2" borderId="0" xfId="0" applyNumberFormat="1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center"/>
    </xf>
    <xf numFmtId="0" fontId="0" fillId="0" borderId="27" xfId="0" applyBorder="1" applyAlignment="1">
      <alignment vertical="top" wrapText="1"/>
    </xf>
    <xf numFmtId="0" fontId="2" fillId="0" borderId="27" xfId="0" applyFont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2" fillId="4" borderId="20" xfId="0" applyFont="1" applyFill="1" applyBorder="1" applyAlignment="1" applyProtection="1">
      <alignment horizontal="center" vertic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164" fontId="0" fillId="2" borderId="26" xfId="0" applyNumberForma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5" fontId="0" fillId="2" borderId="4" xfId="0" applyNumberFormat="1" applyFill="1" applyBorder="1" applyAlignment="1">
      <alignment horizontal="center" vertical="center"/>
    </xf>
    <xf numFmtId="165" fontId="0" fillId="2" borderId="20" xfId="0" applyNumberFormat="1" applyFill="1" applyBorder="1" applyAlignment="1">
      <alignment horizontal="center" vertical="center"/>
    </xf>
    <xf numFmtId="165" fontId="0" fillId="2" borderId="33" xfId="0" applyNumberFormat="1" applyFill="1" applyBorder="1" applyAlignment="1">
      <alignment horizontal="center" vertical="center"/>
    </xf>
    <xf numFmtId="165" fontId="0" fillId="2" borderId="9" xfId="0" applyNumberForma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49" fontId="8" fillId="2" borderId="0" xfId="0" applyNumberFormat="1" applyFont="1" applyFill="1" applyAlignment="1">
      <alignment horizontal="center" vertical="center" wrapText="1"/>
    </xf>
    <xf numFmtId="164" fontId="3" fillId="2" borderId="0" xfId="0" applyNumberFormat="1" applyFont="1" applyFill="1" applyAlignment="1">
      <alignment horizontal="center" vertical="center"/>
    </xf>
    <xf numFmtId="9" fontId="3" fillId="2" borderId="0" xfId="0" applyNumberFormat="1" applyFont="1" applyFill="1" applyAlignment="1">
      <alignment horizontal="center" vertical="center"/>
    </xf>
    <xf numFmtId="0" fontId="7" fillId="2" borderId="0" xfId="0" applyFont="1" applyFill="1"/>
    <xf numFmtId="1" fontId="0" fillId="2" borderId="3" xfId="1" applyNumberFormat="1" applyFont="1" applyFill="1" applyBorder="1" applyAlignment="1" applyProtection="1">
      <alignment horizontal="center" vertical="center"/>
      <protection locked="0"/>
    </xf>
    <xf numFmtId="1" fontId="0" fillId="2" borderId="6" xfId="1" applyNumberFormat="1" applyFont="1" applyFill="1" applyBorder="1" applyAlignment="1" applyProtection="1">
      <alignment horizontal="center" vertical="center"/>
      <protection locked="0"/>
    </xf>
    <xf numFmtId="1" fontId="0" fillId="2" borderId="8" xfId="1" applyNumberFormat="1" applyFont="1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166" fontId="0" fillId="2" borderId="45" xfId="1" applyNumberFormat="1" applyFont="1" applyFill="1" applyBorder="1" applyAlignment="1">
      <alignment horizontal="center" vertical="center"/>
    </xf>
    <xf numFmtId="1" fontId="0" fillId="2" borderId="22" xfId="1" applyNumberFormat="1" applyFont="1" applyFill="1" applyBorder="1" applyAlignment="1" applyProtection="1">
      <alignment horizontal="center" vertical="center"/>
      <protection locked="0"/>
    </xf>
    <xf numFmtId="165" fontId="0" fillId="2" borderId="23" xfId="0" applyNumberFormat="1" applyFill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8" xfId="1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2" fillId="5" borderId="30" xfId="0" applyFont="1" applyFill="1" applyBorder="1" applyAlignment="1" applyProtection="1">
      <alignment horizontal="center" vertical="center"/>
      <protection locked="0"/>
    </xf>
    <xf numFmtId="0" fontId="2" fillId="5" borderId="20" xfId="0" applyFont="1" applyFill="1" applyBorder="1" applyAlignment="1" applyProtection="1">
      <alignment horizontal="center" vertical="center"/>
      <protection locked="0"/>
    </xf>
    <xf numFmtId="0" fontId="2" fillId="5" borderId="36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/>
    </xf>
    <xf numFmtId="0" fontId="2" fillId="4" borderId="41" xfId="0" applyFont="1" applyFill="1" applyBorder="1" applyAlignment="1">
      <alignment vertical="center"/>
    </xf>
    <xf numFmtId="0" fontId="6" fillId="5" borderId="5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/>
    </xf>
    <xf numFmtId="0" fontId="6" fillId="5" borderId="47" xfId="0" applyFont="1" applyFill="1" applyBorder="1"/>
    <xf numFmtId="0" fontId="6" fillId="5" borderId="39" xfId="0" applyFont="1" applyFill="1" applyBorder="1"/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6" fillId="2" borderId="14" xfId="0" applyFont="1" applyFill="1" applyBorder="1"/>
    <xf numFmtId="0" fontId="6" fillId="2" borderId="42" xfId="0" applyFont="1" applyFill="1" applyBorder="1"/>
    <xf numFmtId="0" fontId="6" fillId="2" borderId="12" xfId="0" applyFont="1" applyFill="1" applyBorder="1"/>
    <xf numFmtId="0" fontId="6" fillId="2" borderId="41" xfId="0" applyFont="1" applyFill="1" applyBorder="1"/>
    <xf numFmtId="0" fontId="2" fillId="4" borderId="14" xfId="0" applyFont="1" applyFill="1" applyBorder="1" applyAlignment="1">
      <alignment vertical="center"/>
    </xf>
    <xf numFmtId="0" fontId="2" fillId="4" borderId="42" xfId="0" applyFont="1" applyFill="1" applyBorder="1" applyAlignment="1">
      <alignment vertical="center"/>
    </xf>
    <xf numFmtId="0" fontId="6" fillId="3" borderId="10" xfId="0" applyFont="1" applyFill="1" applyBorder="1"/>
    <xf numFmtId="0" fontId="6" fillId="3" borderId="40" xfId="0" applyFont="1" applyFill="1" applyBorder="1"/>
    <xf numFmtId="49" fontId="2" fillId="2" borderId="29" xfId="0" applyNumberFormat="1" applyFont="1" applyFill="1" applyBorder="1" applyAlignment="1">
      <alignment horizontal="center" vertical="center" wrapText="1"/>
    </xf>
    <xf numFmtId="49" fontId="2" fillId="2" borderId="32" xfId="0" applyNumberFormat="1" applyFont="1" applyFill="1" applyBorder="1" applyAlignment="1">
      <alignment horizontal="center" vertical="center" wrapText="1"/>
    </xf>
    <xf numFmtId="49" fontId="2" fillId="2" borderId="35" xfId="0" applyNumberFormat="1" applyFont="1" applyFill="1" applyBorder="1" applyAlignment="1">
      <alignment horizontal="center" vertical="center" wrapText="1"/>
    </xf>
    <xf numFmtId="49" fontId="2" fillId="2" borderId="30" xfId="0" applyNumberFormat="1" applyFont="1" applyFill="1" applyBorder="1" applyAlignment="1">
      <alignment horizontal="center" vertical="center" wrapText="1"/>
    </xf>
    <xf numFmtId="49" fontId="2" fillId="2" borderId="33" xfId="0" applyNumberFormat="1" applyFont="1" applyFill="1" applyBorder="1" applyAlignment="1">
      <alignment horizontal="center" vertical="center" wrapText="1"/>
    </xf>
    <xf numFmtId="49" fontId="2" fillId="2" borderId="36" xfId="0" applyNumberFormat="1" applyFont="1" applyFill="1" applyBorder="1" applyAlignment="1">
      <alignment horizontal="center" vertical="center" wrapText="1"/>
    </xf>
    <xf numFmtId="0" fontId="2" fillId="2" borderId="3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43" xfId="0" applyFont="1" applyFill="1" applyBorder="1" applyAlignment="1">
      <alignment vertical="center"/>
    </xf>
    <xf numFmtId="0" fontId="2" fillId="2" borderId="44" xfId="0" applyFont="1" applyFill="1" applyBorder="1" applyAlignment="1">
      <alignment vertical="center"/>
    </xf>
    <xf numFmtId="0" fontId="0" fillId="6" borderId="28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2" fillId="2" borderId="10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4" xfId="0" applyFont="1" applyBorder="1" applyAlignment="1">
      <alignment horizontal="center" vertical="center" textRotation="255"/>
    </xf>
    <xf numFmtId="0" fontId="2" fillId="0" borderId="5" xfId="0" applyFont="1" applyBorder="1" applyAlignment="1">
      <alignment horizontal="center" vertical="center" textRotation="255"/>
    </xf>
    <xf numFmtId="0" fontId="2" fillId="0" borderId="7" xfId="0" applyFont="1" applyBorder="1" applyAlignment="1">
      <alignment horizontal="center" vertical="center" textRotation="255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2" fillId="0" borderId="2" xfId="0" applyFont="1" applyBorder="1" applyAlignment="1">
      <alignment horizontal="center" vertical="center" textRotation="255"/>
    </xf>
    <xf numFmtId="0" fontId="2" fillId="0" borderId="21" xfId="0" applyFont="1" applyBorder="1" applyAlignment="1">
      <alignment horizontal="center" vertical="center" textRotation="255"/>
    </xf>
    <xf numFmtId="0" fontId="0" fillId="0" borderId="25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29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2" fillId="0" borderId="28" xfId="0" applyFont="1" applyBorder="1" applyAlignment="1">
      <alignment horizontal="center" vertical="center" textRotation="255" wrapText="1"/>
    </xf>
    <xf numFmtId="0" fontId="2" fillId="0" borderId="31" xfId="0" applyFont="1" applyBorder="1" applyAlignment="1">
      <alignment horizontal="center" vertical="center" textRotation="255" wrapText="1"/>
    </xf>
    <xf numFmtId="0" fontId="2" fillId="0" borderId="34" xfId="0" applyFont="1" applyBorder="1" applyAlignment="1">
      <alignment horizontal="center" vertical="center" textRotation="255" wrapText="1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165" fontId="3" fillId="0" borderId="0" xfId="0" applyNumberFormat="1" applyFont="1" applyFill="1"/>
    <xf numFmtId="165" fontId="3" fillId="0" borderId="0" xfId="0" applyNumberFormat="1" applyFont="1" applyFill="1" applyAlignment="1">
      <alignment horizontal="center" vertical="center"/>
    </xf>
    <xf numFmtId="0" fontId="3" fillId="0" borderId="0" xfId="0" applyFont="1" applyFill="1"/>
  </cellXfs>
  <cellStyles count="2">
    <cellStyle name="Normal" xfId="0" builtinId="0"/>
    <cellStyle name="Yüzde" xfId="1" builtinId="5"/>
  </cellStyles>
  <dxfs count="8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79B"/>
      <color rgb="FFFFE181"/>
      <color rgb="FFC6EFCE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13</xdr:row>
      <xdr:rowOff>76199</xdr:rowOff>
    </xdr:from>
    <xdr:to>
      <xdr:col>4</xdr:col>
      <xdr:colOff>1725</xdr:colOff>
      <xdr:row>15</xdr:row>
      <xdr:rowOff>108149</xdr:rowOff>
    </xdr:to>
    <xdr:sp macro="[0]!SinaVeriCek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9DEF3339-69A1-8EAE-8B08-CC51DDF62740}"/>
            </a:ext>
          </a:extLst>
        </xdr:cNvPr>
        <xdr:cNvSpPr/>
      </xdr:nvSpPr>
      <xdr:spPr>
        <a:xfrm>
          <a:off x="1485900" y="2857499"/>
          <a:ext cx="1440000" cy="432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Sina'dan</a:t>
          </a:r>
          <a:r>
            <a:rPr lang="tr-TR" sz="1100" baseline="0"/>
            <a:t> veri çek</a:t>
          </a:r>
          <a:endParaRPr lang="tr-TR" sz="1100"/>
        </a:p>
      </xdr:txBody>
    </xdr:sp>
    <xdr:clientData/>
  </xdr:twoCellAnchor>
  <xdr:twoCellAnchor>
    <xdr:from>
      <xdr:col>2</xdr:col>
      <xdr:colOff>257175</xdr:colOff>
      <xdr:row>16</xdr:row>
      <xdr:rowOff>47623</xdr:rowOff>
    </xdr:from>
    <xdr:to>
      <xdr:col>4</xdr:col>
      <xdr:colOff>1725</xdr:colOff>
      <xdr:row>18</xdr:row>
      <xdr:rowOff>79573</xdr:rowOff>
    </xdr:to>
    <xdr:sp macro="[0]!HypVeriCek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AB9E71A1-8DA9-4013-8FCA-E21DDDEAAA86}"/>
            </a:ext>
          </a:extLst>
        </xdr:cNvPr>
        <xdr:cNvSpPr/>
      </xdr:nvSpPr>
      <xdr:spPr>
        <a:xfrm>
          <a:off x="1485900" y="3428998"/>
          <a:ext cx="1440000" cy="4320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HYP'den</a:t>
          </a:r>
          <a:r>
            <a:rPr lang="tr-TR" sz="1100" baseline="0"/>
            <a:t> veri çek</a:t>
          </a:r>
          <a:endParaRPr lang="tr-TR" sz="1100"/>
        </a:p>
      </xdr:txBody>
    </xdr:sp>
    <xdr:clientData/>
  </xdr:twoCellAnchor>
  <xdr:twoCellAnchor>
    <xdr:from>
      <xdr:col>1</xdr:col>
      <xdr:colOff>8700</xdr:colOff>
      <xdr:row>12</xdr:row>
      <xdr:rowOff>123825</xdr:rowOff>
    </xdr:from>
    <xdr:to>
      <xdr:col>1</xdr:col>
      <xdr:colOff>440700</xdr:colOff>
      <xdr:row>18</xdr:row>
      <xdr:rowOff>183675</xdr:rowOff>
    </xdr:to>
    <xdr:sp macro="[0]!Module1.KullanimKilavuzu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74FC1389-EAB8-4ECE-B5FF-C7B43FDD7054}"/>
            </a:ext>
          </a:extLst>
        </xdr:cNvPr>
        <xdr:cNvSpPr/>
      </xdr:nvSpPr>
      <xdr:spPr>
        <a:xfrm rot="5400000">
          <a:off x="-24300" y="3119100"/>
          <a:ext cx="1260000" cy="432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tr-TR" sz="900" b="1" baseline="0">
              <a:solidFill>
                <a:schemeClr val="bg1"/>
              </a:solidFill>
            </a:rPr>
            <a:t>Y</a:t>
          </a:r>
        </a:p>
        <a:p>
          <a:pPr algn="ctr"/>
          <a:r>
            <a:rPr lang="tr-TR" sz="900" b="1" baseline="0">
              <a:solidFill>
                <a:schemeClr val="bg1"/>
              </a:solidFill>
            </a:rPr>
            <a:t>A</a:t>
          </a:r>
        </a:p>
        <a:p>
          <a:pPr algn="ctr"/>
          <a:r>
            <a:rPr lang="tr-TR" sz="900" b="1" baseline="0">
              <a:solidFill>
                <a:schemeClr val="bg1"/>
              </a:solidFill>
            </a:rPr>
            <a:t>R</a:t>
          </a:r>
        </a:p>
        <a:p>
          <a:pPr algn="ctr"/>
          <a:r>
            <a:rPr lang="tr-TR" sz="900" b="1" baseline="0">
              <a:solidFill>
                <a:schemeClr val="bg1"/>
              </a:solidFill>
            </a:rPr>
            <a:t>D</a:t>
          </a:r>
        </a:p>
        <a:p>
          <a:pPr algn="ctr"/>
          <a:r>
            <a:rPr lang="tr-TR" sz="900" b="1" baseline="0">
              <a:solidFill>
                <a:schemeClr val="bg1"/>
              </a:solidFill>
            </a:rPr>
            <a:t>I</a:t>
          </a:r>
        </a:p>
        <a:p>
          <a:pPr algn="ctr"/>
          <a:r>
            <a:rPr lang="tr-TR" sz="900" b="1" baseline="0">
              <a:solidFill>
                <a:schemeClr val="bg1"/>
              </a:solidFill>
            </a:rPr>
            <a:t>M</a:t>
          </a:r>
        </a:p>
      </xdr:txBody>
    </xdr:sp>
    <xdr:clientData/>
  </xdr:twoCellAnchor>
  <xdr:twoCellAnchor>
    <xdr:from>
      <xdr:col>1</xdr:col>
      <xdr:colOff>569025</xdr:colOff>
      <xdr:row>12</xdr:row>
      <xdr:rowOff>135825</xdr:rowOff>
    </xdr:from>
    <xdr:to>
      <xdr:col>2</xdr:col>
      <xdr:colOff>153300</xdr:colOff>
      <xdr:row>18</xdr:row>
      <xdr:rowOff>195675</xdr:rowOff>
    </xdr:to>
    <xdr:sp macro="[0]!VerileriTemizle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B5A55FC4-879C-2938-5716-3D3CD52FD792}"/>
            </a:ext>
          </a:extLst>
        </xdr:cNvPr>
        <xdr:cNvSpPr/>
      </xdr:nvSpPr>
      <xdr:spPr>
        <a:xfrm rot="5400000">
          <a:off x="536025" y="3131100"/>
          <a:ext cx="1260000" cy="432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tr-TR" sz="900" b="1"/>
            <a:t>S</a:t>
          </a:r>
        </a:p>
        <a:p>
          <a:pPr algn="ctr"/>
          <a:r>
            <a:rPr lang="tr-TR" sz="900" b="1"/>
            <a:t>I</a:t>
          </a:r>
        </a:p>
        <a:p>
          <a:pPr algn="ctr"/>
          <a:r>
            <a:rPr lang="tr-TR" sz="900" b="1"/>
            <a:t>F</a:t>
          </a:r>
        </a:p>
        <a:p>
          <a:pPr algn="ctr"/>
          <a:r>
            <a:rPr lang="tr-TR" sz="900" b="1"/>
            <a:t>I</a:t>
          </a:r>
        </a:p>
        <a:p>
          <a:pPr algn="ctr"/>
          <a:r>
            <a:rPr lang="tr-TR" sz="900" b="1"/>
            <a:t>R</a:t>
          </a:r>
        </a:p>
        <a:p>
          <a:pPr algn="ctr"/>
          <a:r>
            <a:rPr lang="tr-TR" sz="900" b="1"/>
            <a:t>L</a:t>
          </a:r>
        </a:p>
        <a:p>
          <a:pPr algn="ctr"/>
          <a:r>
            <a:rPr lang="tr-TR" sz="900" b="1"/>
            <a:t>A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E1F8A-FACE-452E-B3D3-CC6CA7EAF5E4}">
  <sheetPr codeName="Sayfa1"/>
  <dimension ref="A1:AM51"/>
  <sheetViews>
    <sheetView tabSelected="1" workbookViewId="0">
      <selection activeCell="H27" sqref="H27"/>
    </sheetView>
  </sheetViews>
  <sheetFormatPr defaultRowHeight="15" x14ac:dyDescent="0.25"/>
  <cols>
    <col min="1" max="1" width="5.7109375" style="1" customWidth="1"/>
    <col min="2" max="3" width="12.7109375" style="1" customWidth="1"/>
    <col min="4" max="4" width="12.7109375" style="2" customWidth="1"/>
    <col min="5" max="5" width="5.7109375" style="2" customWidth="1"/>
    <col min="6" max="7" width="14.28515625" style="2" customWidth="1"/>
    <col min="8" max="9" width="12.7109375" style="1" customWidth="1"/>
    <col min="10" max="10" width="12.7109375" style="2" customWidth="1"/>
    <col min="11" max="11" width="15.7109375" style="1" customWidth="1"/>
    <col min="12" max="13" width="12.7109375" style="2" customWidth="1"/>
    <col min="14" max="15" width="9.42578125" style="2" customWidth="1"/>
    <col min="16" max="16" width="12.7109375" style="2" customWidth="1"/>
    <col min="17" max="24" width="9.42578125" style="2" customWidth="1"/>
    <col min="25" max="28" width="9.140625" style="1"/>
    <col min="29" max="32" width="9.140625" style="16"/>
    <col min="33" max="33" width="11" style="16" customWidth="1"/>
    <col min="34" max="35" width="9.140625" style="16"/>
    <col min="36" max="36" width="9.140625" style="3"/>
    <col min="37" max="16384" width="9.140625" style="1"/>
  </cols>
  <sheetData>
    <row r="1" spans="1:39" ht="30" customHeight="1" thickBot="1" x14ac:dyDescent="0.3">
      <c r="Q1" s="34"/>
      <c r="R1" s="34"/>
      <c r="S1" s="34"/>
    </row>
    <row r="2" spans="1:39" ht="15.75" customHeight="1" x14ac:dyDescent="0.25">
      <c r="B2" s="57" t="s">
        <v>68</v>
      </c>
      <c r="C2" s="58"/>
      <c r="D2" s="25" t="s">
        <v>102</v>
      </c>
      <c r="F2" s="93" t="e" vm="1">
        <v>#VALUE!</v>
      </c>
      <c r="G2" s="94"/>
      <c r="H2" s="83" t="s">
        <v>1</v>
      </c>
      <c r="I2" s="86" t="s">
        <v>2</v>
      </c>
      <c r="J2" s="77" t="s">
        <v>81</v>
      </c>
      <c r="K2" s="86" t="s">
        <v>4</v>
      </c>
      <c r="L2" s="77" t="s">
        <v>36</v>
      </c>
      <c r="M2" s="77" t="s">
        <v>40</v>
      </c>
      <c r="N2" s="77" t="s">
        <v>82</v>
      </c>
      <c r="O2" s="77" t="s">
        <v>101</v>
      </c>
      <c r="P2" s="80" t="s">
        <v>37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39" ht="15.75" customHeight="1" x14ac:dyDescent="0.25">
      <c r="B3" s="59" t="s">
        <v>69</v>
      </c>
      <c r="C3" s="60"/>
      <c r="D3" s="26">
        <v>2026</v>
      </c>
      <c r="F3" s="95"/>
      <c r="G3" s="96"/>
      <c r="H3" s="84"/>
      <c r="I3" s="87"/>
      <c r="J3" s="78"/>
      <c r="K3" s="87"/>
      <c r="L3" s="78"/>
      <c r="M3" s="78"/>
      <c r="N3" s="78"/>
      <c r="O3" s="78"/>
      <c r="P3" s="81"/>
      <c r="Q3" s="34"/>
      <c r="R3" s="34"/>
      <c r="S3" s="34"/>
      <c r="T3" s="34"/>
      <c r="U3" s="34"/>
      <c r="V3" s="34"/>
      <c r="W3" s="34"/>
      <c r="X3" s="34"/>
      <c r="Y3" s="3"/>
      <c r="Z3" s="3"/>
      <c r="AA3" s="3"/>
      <c r="AB3" s="3"/>
    </row>
    <row r="4" spans="1:39" ht="15.75" thickBot="1" x14ac:dyDescent="0.3">
      <c r="B4" s="73" t="s">
        <v>70</v>
      </c>
      <c r="C4" s="74"/>
      <c r="D4" s="27">
        <v>326767</v>
      </c>
      <c r="F4" s="97"/>
      <c r="G4" s="98"/>
      <c r="H4" s="85"/>
      <c r="I4" s="88"/>
      <c r="J4" s="79"/>
      <c r="K4" s="88"/>
      <c r="L4" s="79"/>
      <c r="M4" s="79"/>
      <c r="N4" s="79"/>
      <c r="O4" s="79"/>
      <c r="P4" s="82"/>
      <c r="Q4" s="3"/>
      <c r="R4" s="3"/>
      <c r="S4" s="3"/>
      <c r="Z4" s="3"/>
      <c r="AA4" s="3"/>
      <c r="AB4" s="3"/>
      <c r="AC4" s="3"/>
      <c r="AD4" s="3"/>
      <c r="AE4" s="3"/>
      <c r="AF4" s="3"/>
      <c r="AG4" s="3"/>
      <c r="AH4" s="3"/>
      <c r="AI4" s="3"/>
      <c r="AK4" s="3"/>
      <c r="AL4" s="3"/>
      <c r="AM4" s="3"/>
    </row>
    <row r="5" spans="1:39" ht="15.75" thickBot="1" x14ac:dyDescent="0.3">
      <c r="F5" s="99" t="s">
        <v>0</v>
      </c>
      <c r="G5" s="100"/>
      <c r="H5" s="4">
        <f>VLOOKUP($F5,'Data - Sina'!$C$3:$F$17,2,0)</f>
        <v>14</v>
      </c>
      <c r="I5" s="5">
        <f>IF(D6="Hayır",VLOOKUP($F5,'Data - Sina'!$C$3:$F$17,3,0),VLOOKUP("*"&amp;"Diyabet"&amp;"*"&amp;"Tarama"&amp;"*",'Data - Hyp'!$B$2:$C$16,2,0))</f>
        <v>27</v>
      </c>
      <c r="J5" s="5">
        <f>VLOOKUP($F5,'Data - Sina'!$C$3:$F$17,4,0)</f>
        <v>36</v>
      </c>
      <c r="K5" s="5" t="str">
        <f>IF(L5&gt;=90%,"Tamamlandı","Tamamlanmadı")</f>
        <v>Tamamlandı</v>
      </c>
      <c r="L5" s="6">
        <f>IF(OR((I5+J5)=0,H5=0),0,(I5+J5)/H5)</f>
        <v>4.5</v>
      </c>
      <c r="M5" s="7">
        <f>IF(L5&gt;=40%,Hesap!H3,Hesap!E3)</f>
        <v>1.05</v>
      </c>
      <c r="N5" s="40"/>
      <c r="O5" s="6">
        <f>IF(OR((N5+J5+I5)=0,H5=0),0,(N5+J5+I5)/H5)</f>
        <v>4.5</v>
      </c>
      <c r="P5" s="30">
        <f>IF(O5&gt;=40%,Hesap!I3,Hesap!E3)</f>
        <v>1.05</v>
      </c>
      <c r="Q5" s="34"/>
      <c r="R5" s="34"/>
      <c r="S5" s="34"/>
      <c r="Z5" s="3"/>
      <c r="AA5" s="3"/>
      <c r="AB5" s="3"/>
      <c r="AC5" s="3"/>
      <c r="AD5" s="3"/>
      <c r="AE5" s="3"/>
      <c r="AF5" s="3"/>
      <c r="AG5" s="3"/>
      <c r="AH5" s="3"/>
      <c r="AI5" s="3"/>
      <c r="AK5" s="3"/>
      <c r="AL5" s="3"/>
      <c r="AM5" s="3"/>
    </row>
    <row r="6" spans="1:39" ht="15.75" customHeight="1" x14ac:dyDescent="0.25">
      <c r="B6" s="63" t="s">
        <v>65</v>
      </c>
      <c r="C6" s="64"/>
      <c r="D6" s="54" t="s">
        <v>12</v>
      </c>
      <c r="F6" s="67" t="s">
        <v>35</v>
      </c>
      <c r="G6" s="68"/>
      <c r="H6" s="8">
        <f>VLOOKUP($F6,'Data - Sina'!$C$3:$F$17,2,0)</f>
        <v>28</v>
      </c>
      <c r="I6" s="9">
        <f>IF(D6="Hayır",VLOOKUP($F6,'Data - Sina'!$C$3:$F$17,3,0),VLOOKUP("*"&amp;"Diyabet"&amp;"*"&amp;"İzlem"&amp;"*",'Data - Hyp'!$B$2:$C$16,2,0))</f>
        <v>32</v>
      </c>
      <c r="J6" s="9">
        <f>VLOOKUP($F6,'Data - Sina'!$C$3:$F$17,4,0)</f>
        <v>25</v>
      </c>
      <c r="K6" s="9" t="str">
        <f t="shared" ref="K6:K19" si="0">IF(L6&gt;=90%,"Tamamlandı","Tamamlanmadı")</f>
        <v>Tamamlandı</v>
      </c>
      <c r="L6" s="10">
        <f t="shared" ref="L6:L19" si="1">IF(OR((I6+J6)=0,H6=0),0,(I6+J6)/H6)</f>
        <v>2.0357142857142856</v>
      </c>
      <c r="M6" s="11">
        <f>IF(L6&gt;=50%,Hesap!H4,Hesap!E4)</f>
        <v>1.0248999999999999</v>
      </c>
      <c r="N6" s="41"/>
      <c r="O6" s="10">
        <f t="shared" ref="O6:O19" si="2">IF(OR((N6+J6+I6)=0,H6=0),0,(N6+J6+I6)/H6)</f>
        <v>2.0357142857142856</v>
      </c>
      <c r="P6" s="31">
        <f>IF(O6&gt;=40%,Hesap!I4,Hesap!E4)</f>
        <v>1.0248999999999999</v>
      </c>
      <c r="Q6" s="34"/>
      <c r="R6" s="34"/>
      <c r="S6" s="34"/>
      <c r="Z6" s="3"/>
      <c r="AA6" s="3"/>
      <c r="AB6" s="3"/>
      <c r="AC6" s="3"/>
      <c r="AD6" s="3"/>
      <c r="AE6" s="3"/>
      <c r="AF6" s="3"/>
      <c r="AG6" s="3"/>
      <c r="AH6" s="3"/>
      <c r="AI6" s="3"/>
      <c r="AK6" s="3"/>
      <c r="AL6" s="3"/>
      <c r="AM6" s="3"/>
    </row>
    <row r="7" spans="1:39" ht="15.75" customHeight="1" x14ac:dyDescent="0.25">
      <c r="B7" s="61" t="s">
        <v>8</v>
      </c>
      <c r="C7" s="62"/>
      <c r="D7" s="55" t="s">
        <v>77</v>
      </c>
      <c r="F7" s="67" t="s">
        <v>27</v>
      </c>
      <c r="G7" s="68"/>
      <c r="H7" s="8">
        <f>VLOOKUP($F7,'Data - Sina'!$C$3:$F$17,2,0)</f>
        <v>67</v>
      </c>
      <c r="I7" s="9">
        <f>IF(D6="Hayır",VLOOKUP($F7,'Data - Sina'!$C$3:$F$17,3,0),VLOOKUP("*"&amp;"Hipertansiyon"&amp;"*"&amp;"Tarama"&amp;"*",'Data - Hyp'!$B$2:$C$16,2,0))</f>
        <v>55</v>
      </c>
      <c r="J7" s="9">
        <f>VLOOKUP($F7,'Data - Sina'!$C$3:$F$17,4,0)</f>
        <v>9</v>
      </c>
      <c r="K7" s="9" t="str">
        <f t="shared" si="0"/>
        <v>Tamamlandı</v>
      </c>
      <c r="L7" s="10">
        <f t="shared" si="1"/>
        <v>0.95522388059701491</v>
      </c>
      <c r="M7" s="11">
        <f>IF(L7&gt;=40%,Hesap!H5,Hesap!E5)</f>
        <v>1.05</v>
      </c>
      <c r="N7" s="41"/>
      <c r="O7" s="10">
        <f t="shared" si="2"/>
        <v>0.95522388059701491</v>
      </c>
      <c r="P7" s="31">
        <f>IF(O7&gt;=40%,Hesap!I5,Hesap!E5)</f>
        <v>1.05</v>
      </c>
      <c r="Q7" s="36"/>
      <c r="R7" s="36"/>
      <c r="S7" s="36"/>
      <c r="Z7" s="23"/>
      <c r="AA7" s="23"/>
      <c r="AB7" s="3"/>
      <c r="AH7" s="3"/>
      <c r="AI7" s="3"/>
      <c r="AK7" s="3"/>
      <c r="AL7" s="3"/>
      <c r="AM7" s="3"/>
    </row>
    <row r="8" spans="1:39" ht="15.75" customHeight="1" thickBot="1" x14ac:dyDescent="0.3">
      <c r="A8" s="15" t="s">
        <v>42</v>
      </c>
      <c r="B8" s="65" t="s">
        <v>5</v>
      </c>
      <c r="C8" s="66"/>
      <c r="D8" s="56">
        <v>2753</v>
      </c>
      <c r="F8" s="67" t="s">
        <v>3</v>
      </c>
      <c r="G8" s="68"/>
      <c r="H8" s="8">
        <f>VLOOKUP($F8,'Data - Sina'!$C$3:$F$17,2,0)</f>
        <v>42</v>
      </c>
      <c r="I8" s="9">
        <f>IF(D6="Hayır",VLOOKUP($F8,'Data - Sina'!$C$3:$F$17,3,0),VLOOKUP("*"&amp;"Hipertansiyon"&amp;"*"&amp;"İzlem"&amp;"*",'Data - Hyp'!$B$2:$C$16,2,0))</f>
        <v>37</v>
      </c>
      <c r="J8" s="9">
        <f>VLOOKUP($F8,'Data - Sina'!$C$3:$F$17,4,0)</f>
        <v>7</v>
      </c>
      <c r="K8" s="9" t="str">
        <f t="shared" si="0"/>
        <v>Tamamlandı</v>
      </c>
      <c r="L8" s="10">
        <f t="shared" si="1"/>
        <v>1.0476190476190477</v>
      </c>
      <c r="M8" s="11">
        <f>IF(L8&gt;=50%,Hesap!H6,Hesap!E6)</f>
        <v>1.0248999999999999</v>
      </c>
      <c r="N8" s="41"/>
      <c r="O8" s="10">
        <f t="shared" si="2"/>
        <v>1.0476190476190477</v>
      </c>
      <c r="P8" s="31">
        <f>IF(O8&gt;=40%,Hesap!I6,Hesap!E6)</f>
        <v>1.0248999999999999</v>
      </c>
      <c r="Q8" s="35"/>
      <c r="R8" s="35"/>
      <c r="S8" s="35"/>
      <c r="Z8" s="3"/>
      <c r="AA8" s="3"/>
      <c r="AB8" s="3"/>
      <c r="AH8" s="3"/>
      <c r="AI8" s="3"/>
      <c r="AK8" s="3"/>
      <c r="AL8" s="3"/>
      <c r="AM8" s="3"/>
    </row>
    <row r="9" spans="1:39" ht="15.75" customHeight="1" thickBot="1" x14ac:dyDescent="0.3">
      <c r="A9" s="15" t="s">
        <v>43</v>
      </c>
      <c r="F9" s="67" t="s">
        <v>28</v>
      </c>
      <c r="G9" s="68"/>
      <c r="H9" s="8">
        <f>VLOOKUP($F9,'Data - Sina'!$C$3:$F$17,2,0)</f>
        <v>18</v>
      </c>
      <c r="I9" s="9">
        <f>VLOOKUP($F9,'Data - Sina'!$C$3:$F$17,3,0)</f>
        <v>2</v>
      </c>
      <c r="J9" s="9">
        <f>VLOOKUP($F9,'Data - Sina'!$C$3:$F$17,4,0)</f>
        <v>0</v>
      </c>
      <c r="K9" s="9" t="str">
        <f t="shared" si="0"/>
        <v>Tamamlanmadı</v>
      </c>
      <c r="L9" s="10">
        <f t="shared" si="1"/>
        <v>0.1111111111111111</v>
      </c>
      <c r="M9" s="11">
        <f>IF(L9&gt;=50%,Hesap!H7,Hesap!E7)</f>
        <v>0.99399999999999999</v>
      </c>
      <c r="N9" s="41"/>
      <c r="O9" s="10">
        <f t="shared" si="2"/>
        <v>0.1111111111111111</v>
      </c>
      <c r="P9" s="32">
        <f>IF(O9&gt;=40%,Hesap!I7,Hesap!E7)</f>
        <v>0.99399999999999999</v>
      </c>
      <c r="Q9" s="35"/>
      <c r="R9" s="35"/>
      <c r="S9" s="35"/>
      <c r="Z9" s="3"/>
      <c r="AA9" s="3"/>
      <c r="AB9" s="3"/>
      <c r="AH9" s="3"/>
      <c r="AI9" s="3"/>
      <c r="AK9" s="3"/>
      <c r="AL9" s="3"/>
      <c r="AM9" s="3"/>
    </row>
    <row r="10" spans="1:39" ht="15.75" customHeight="1" x14ac:dyDescent="0.25">
      <c r="A10" s="15" t="s">
        <v>42</v>
      </c>
      <c r="B10" s="75" t="s">
        <v>67</v>
      </c>
      <c r="C10" s="76"/>
      <c r="D10" s="29">
        <f>IF(D8="","",4000/D8)</f>
        <v>1.4529604068289139</v>
      </c>
      <c r="F10" s="67" t="s">
        <v>29</v>
      </c>
      <c r="G10" s="68"/>
      <c r="H10" s="8">
        <f>VLOOKUP($F10,'Data - Sina'!$C$3:$F$17,2,0)</f>
        <v>15</v>
      </c>
      <c r="I10" s="9">
        <f>VLOOKUP($F10,'Data - Sina'!$C$3:$F$17,3,0)</f>
        <v>5</v>
      </c>
      <c r="J10" s="9">
        <f>VLOOKUP($F10,'Data - Sina'!$C$3:$F$17,4,0)</f>
        <v>0</v>
      </c>
      <c r="K10" s="9" t="str">
        <f t="shared" si="0"/>
        <v>Tamamlanmadı</v>
      </c>
      <c r="L10" s="10">
        <f t="shared" si="1"/>
        <v>0.33333333333333331</v>
      </c>
      <c r="M10" s="11">
        <f>IF(L10&gt;=50%,Hesap!H8,Hesap!E8)</f>
        <v>0.99399999999999999</v>
      </c>
      <c r="N10" s="41"/>
      <c r="O10" s="10">
        <f t="shared" si="2"/>
        <v>0.33333333333333331</v>
      </c>
      <c r="P10" s="31">
        <f>IF(O10&gt;=40%,Hesap!I8,Hesap!E8)</f>
        <v>0.99399999999999999</v>
      </c>
      <c r="Q10" s="35"/>
      <c r="R10" s="35"/>
      <c r="S10" s="35"/>
      <c r="Z10" s="3"/>
      <c r="AA10" s="3"/>
      <c r="AB10" s="3"/>
      <c r="AH10" s="3"/>
      <c r="AI10" s="3"/>
      <c r="AK10" s="3"/>
      <c r="AL10" s="3"/>
      <c r="AM10" s="3"/>
    </row>
    <row r="11" spans="1:39" ht="15.75" customHeight="1" x14ac:dyDescent="0.25">
      <c r="A11" s="15" t="s">
        <v>43</v>
      </c>
      <c r="B11" s="71" t="s">
        <v>40</v>
      </c>
      <c r="C11" s="72"/>
      <c r="D11" s="28">
        <f>PRODUCT(M5:M16)*IF(D7="Başarılı",Hesap!G19,Hesap!E19)</f>
        <v>1.342814292171884</v>
      </c>
      <c r="F11" s="67" t="s">
        <v>30</v>
      </c>
      <c r="G11" s="68"/>
      <c r="H11" s="8">
        <f>VLOOKUP($F11,'Data - Sina'!$C$3:$F$17,2,0)</f>
        <v>6</v>
      </c>
      <c r="I11" s="9">
        <f>VLOOKUP($F11,'Data - Sina'!$C$3:$F$17,3,0)</f>
        <v>3</v>
      </c>
      <c r="J11" s="9">
        <f>VLOOKUP($F11,'Data - Sina'!$C$3:$F$17,4,0)</f>
        <v>1</v>
      </c>
      <c r="K11" s="9" t="str">
        <f t="shared" si="0"/>
        <v>Tamamlanmadı</v>
      </c>
      <c r="L11" s="10">
        <f t="shared" si="1"/>
        <v>0.66666666666666663</v>
      </c>
      <c r="M11" s="11">
        <f>IF(L11&gt;=50%,Hesap!H9,Hesap!E9)</f>
        <v>1.0125</v>
      </c>
      <c r="N11" s="41"/>
      <c r="O11" s="10">
        <f t="shared" si="2"/>
        <v>0.66666666666666663</v>
      </c>
      <c r="P11" s="31">
        <f>IF(O11&gt;=40%,Hesap!I9,Hesap!E9)</f>
        <v>1.0125</v>
      </c>
      <c r="Q11" s="35"/>
      <c r="R11" s="35"/>
      <c r="S11" s="35"/>
      <c r="Z11" s="3"/>
      <c r="AA11" s="3"/>
      <c r="AB11" s="3"/>
      <c r="AH11" s="3"/>
      <c r="AI11" s="3"/>
      <c r="AK11" s="3"/>
      <c r="AL11" s="3"/>
      <c r="AM11" s="3"/>
    </row>
    <row r="12" spans="1:39" ht="15.75" customHeight="1" thickBot="1" x14ac:dyDescent="0.3">
      <c r="A12" s="15" t="s">
        <v>43</v>
      </c>
      <c r="B12" s="69" t="s">
        <v>83</v>
      </c>
      <c r="C12" s="70"/>
      <c r="D12" s="14">
        <f>PRODUCT(P5:P16)*IF(D7="Başarılı",Hesap!G19,Hesap!E19)</f>
        <v>1.342814292171884</v>
      </c>
      <c r="F12" s="67" t="s">
        <v>31</v>
      </c>
      <c r="G12" s="68"/>
      <c r="H12" s="8">
        <f>VLOOKUP($F12,'Data - Sina'!$C$3:$F$17,2,0)</f>
        <v>16</v>
      </c>
      <c r="I12" s="9">
        <f>IF(D6="Hayır",VLOOKUP($F12,'Data - Sina'!$C$3:$F$17,3,0),VLOOKUP("*"&amp;"Kardiyovasküler"&amp;"*"&amp;"Tarama"&amp;"*",'Data - Hyp'!$B$2:$C$16,2,0))</f>
        <v>15</v>
      </c>
      <c r="J12" s="9">
        <f>VLOOKUP($F12,'Data - Sina'!$C$3:$F$17,4,0)</f>
        <v>1</v>
      </c>
      <c r="K12" s="9" t="str">
        <f t="shared" si="0"/>
        <v>Tamamlandı</v>
      </c>
      <c r="L12" s="10">
        <f t="shared" si="1"/>
        <v>1</v>
      </c>
      <c r="M12" s="11">
        <f>IF(L12&gt;=40%,Hesap!H10,Hesap!E10)</f>
        <v>1.05</v>
      </c>
      <c r="N12" s="41"/>
      <c r="O12" s="10">
        <f t="shared" si="2"/>
        <v>1</v>
      </c>
      <c r="P12" s="31">
        <f>IF(O12&gt;=40%,Hesap!I10,Hesap!E10)</f>
        <v>1.05</v>
      </c>
      <c r="Q12" s="35"/>
      <c r="R12" s="35"/>
      <c r="S12" s="35"/>
      <c r="Z12" s="3"/>
      <c r="AA12" s="3"/>
      <c r="AB12" s="3"/>
      <c r="AH12" s="3"/>
      <c r="AI12" s="3"/>
      <c r="AK12" s="3"/>
      <c r="AL12" s="3"/>
      <c r="AM12" s="3"/>
    </row>
    <row r="13" spans="1:39" ht="15.75" customHeight="1" x14ac:dyDescent="0.25">
      <c r="A13" s="15" t="s">
        <v>42</v>
      </c>
      <c r="F13" s="67" t="s">
        <v>44</v>
      </c>
      <c r="G13" s="68"/>
      <c r="H13" s="8">
        <f>VLOOKUP($F13,'Data - Sina'!$C$3:$F$17,2,0)</f>
        <v>12</v>
      </c>
      <c r="I13" s="9">
        <f>IF(D6="Hayır",VLOOKUP($F13,'Data - Sina'!$C$3:$F$17,3,0),VLOOKUP("*"&amp;"Kardiyovasküler"&amp;"*"&amp;"İzlem"&amp;"*",'Data - Hyp'!$B$2:$C$16,2,0))</f>
        <v>32</v>
      </c>
      <c r="J13" s="9">
        <f>VLOOKUP($F13,'Data - Sina'!$C$3:$F$17,4,0)</f>
        <v>70</v>
      </c>
      <c r="K13" s="9" t="str">
        <f t="shared" si="0"/>
        <v>Tamamlandı</v>
      </c>
      <c r="L13" s="10">
        <f t="shared" si="1"/>
        <v>8.5</v>
      </c>
      <c r="M13" s="11">
        <f>IF(L13&gt;=50%,Hesap!H11,Hesap!E11)</f>
        <v>1.0248999999999999</v>
      </c>
      <c r="N13" s="41"/>
      <c r="O13" s="10">
        <f t="shared" si="2"/>
        <v>8.5</v>
      </c>
      <c r="P13" s="31">
        <f>IF(O13&gt;=40%,Hesap!I11,Hesap!E11)</f>
        <v>1.0248999999999999</v>
      </c>
      <c r="Q13" s="35"/>
      <c r="R13" s="35"/>
      <c r="S13" s="35"/>
      <c r="Z13" s="3"/>
      <c r="AA13" s="3"/>
      <c r="AB13" s="3"/>
      <c r="AH13" s="3"/>
      <c r="AI13" s="17"/>
      <c r="AK13" s="3"/>
      <c r="AL13" s="3"/>
      <c r="AM13" s="3"/>
    </row>
    <row r="14" spans="1:39" ht="15.75" customHeight="1" x14ac:dyDescent="0.25">
      <c r="A14" s="15" t="s">
        <v>43</v>
      </c>
      <c r="F14" s="67" t="s">
        <v>32</v>
      </c>
      <c r="G14" s="68"/>
      <c r="H14" s="8">
        <f>VLOOKUP($F14,'Data - Sina'!$C$3:$F$17,2,0)</f>
        <v>70</v>
      </c>
      <c r="I14" s="9">
        <f>IF(D6="Hayır",VLOOKUP($F14,'Data - Sina'!$C$3:$F$17,3,0),VLOOKUP("*"&amp;"Obezite"&amp;"*"&amp;"Tarama"&amp;"*",'Data - Hyp'!$B$2:$C$16,2,0))</f>
        <v>53</v>
      </c>
      <c r="J14" s="9">
        <f>VLOOKUP($F14,'Data - Sina'!$C$3:$F$17,4,0)</f>
        <v>15</v>
      </c>
      <c r="K14" s="9" t="str">
        <f t="shared" si="0"/>
        <v>Tamamlandı</v>
      </c>
      <c r="L14" s="10">
        <f t="shared" si="1"/>
        <v>0.97142857142857142</v>
      </c>
      <c r="M14" s="11">
        <f>IF(L14&gt;=40%,Hesap!H12,Hesap!E12)</f>
        <v>1.0169999999999999</v>
      </c>
      <c r="N14" s="41"/>
      <c r="O14" s="10">
        <f t="shared" si="2"/>
        <v>0.97142857142857142</v>
      </c>
      <c r="P14" s="31">
        <f>IF(O14&gt;=40%,Hesap!I12,Hesap!E12)</f>
        <v>1.0169999999999999</v>
      </c>
      <c r="Q14" s="35"/>
      <c r="R14" s="35"/>
      <c r="S14" s="35"/>
      <c r="Z14" s="3"/>
      <c r="AA14" s="3"/>
      <c r="AB14" s="3"/>
      <c r="AH14" s="3"/>
      <c r="AI14" s="3"/>
      <c r="AK14" s="3"/>
      <c r="AL14" s="3"/>
      <c r="AM14" s="3"/>
    </row>
    <row r="15" spans="1:39" ht="15.75" customHeight="1" x14ac:dyDescent="0.25">
      <c r="A15" s="15" t="s">
        <v>42</v>
      </c>
      <c r="F15" s="67" t="s">
        <v>34</v>
      </c>
      <c r="G15" s="68"/>
      <c r="H15" s="8">
        <f>VLOOKUP($F15,'Data - Sina'!$C$3:$F$17,2,0)</f>
        <v>29</v>
      </c>
      <c r="I15" s="9">
        <f>IF(D6="Hayır",VLOOKUP($F15,'Data - Sina'!$C$3:$F$17,3,0),VLOOKUP("*"&amp;"Obezite"&amp;"*"&amp;"İzlem"&amp;"*",'Data - Hyp'!$B$2:$C$16,2,0))</f>
        <v>16</v>
      </c>
      <c r="J15" s="9">
        <f>VLOOKUP($F15,'Data - Sina'!$C$3:$F$17,4,0)</f>
        <v>0</v>
      </c>
      <c r="K15" s="9" t="str">
        <f t="shared" si="0"/>
        <v>Tamamlanmadı</v>
      </c>
      <c r="L15" s="10">
        <f t="shared" si="1"/>
        <v>0.55172413793103448</v>
      </c>
      <c r="M15" s="11">
        <f>IF(L15&gt;=50%,Hesap!H13,Hesap!E13)</f>
        <v>1.003219827586207</v>
      </c>
      <c r="N15" s="41"/>
      <c r="O15" s="10">
        <f t="shared" si="2"/>
        <v>0.55172413793103448</v>
      </c>
      <c r="P15" s="31">
        <f>IF(O15&gt;=40%,Hesap!I13,Hesap!E13)</f>
        <v>1.003219827586207</v>
      </c>
      <c r="Q15" s="35"/>
      <c r="R15" s="35"/>
      <c r="S15" s="35"/>
      <c r="Z15" s="3"/>
      <c r="AA15" s="3"/>
      <c r="AB15" s="3"/>
      <c r="AH15" s="3"/>
      <c r="AI15" s="3"/>
      <c r="AK15" s="3"/>
      <c r="AL15" s="3"/>
      <c r="AM15" s="3"/>
    </row>
    <row r="16" spans="1:39" ht="15.75" customHeight="1" x14ac:dyDescent="0.25">
      <c r="A16" s="15" t="s">
        <v>43</v>
      </c>
      <c r="D16" s="1"/>
      <c r="F16" s="91" t="s">
        <v>33</v>
      </c>
      <c r="G16" s="92"/>
      <c r="H16" s="43">
        <f>VLOOKUP($F16,'Data - Sina'!$C$3:$F$17,2,0)</f>
        <v>12</v>
      </c>
      <c r="I16" s="44">
        <f>IF(D6="Hayır",VLOOKUP($F16,'Data - Sina'!$C$3:$F$17,3,0),VLOOKUP("*"&amp;"Yaşlı"&amp;"*"&amp;"İzlem"&amp;"*",'Data - Hyp'!$B$2:$C$16,2,0))</f>
        <v>11</v>
      </c>
      <c r="J16" s="44">
        <f>VLOOKUP($F16,'Data - Sina'!$C$3:$F$17,4,0)</f>
        <v>4</v>
      </c>
      <c r="K16" s="44" t="str">
        <f t="shared" si="0"/>
        <v>Tamamlandı</v>
      </c>
      <c r="L16" s="45">
        <f t="shared" si="1"/>
        <v>1.25</v>
      </c>
      <c r="M16" s="46">
        <f>IF(L16&gt;=50%,Hesap!H14,Hesap!E14)</f>
        <v>1.0248999999999999</v>
      </c>
      <c r="N16" s="47"/>
      <c r="O16" s="45">
        <f t="shared" si="2"/>
        <v>1.25</v>
      </c>
      <c r="P16" s="48">
        <f>IF(O16&gt;=40%,Hesap!I14,Hesap!E14)</f>
        <v>1.0248999999999999</v>
      </c>
      <c r="Q16" s="35"/>
      <c r="R16" s="35"/>
      <c r="S16" s="35"/>
      <c r="Z16" s="3"/>
      <c r="AA16" s="3"/>
      <c r="AB16" s="3"/>
      <c r="AH16" s="3"/>
      <c r="AI16" s="3"/>
      <c r="AK16" s="3"/>
      <c r="AL16" s="3"/>
      <c r="AM16" s="3"/>
    </row>
    <row r="17" spans="1:39" ht="15.75" customHeight="1" x14ac:dyDescent="0.25">
      <c r="A17" s="15"/>
      <c r="D17" s="1"/>
      <c r="F17" s="67" t="s">
        <v>97</v>
      </c>
      <c r="G17" s="68"/>
      <c r="H17" s="52">
        <f>VLOOKUP($F17,'Data - Sina'!$C$3:$F$17,2,0)</f>
        <v>0</v>
      </c>
      <c r="I17" s="9">
        <f>IF(D6="Hayır",VLOOKUP($F17,'Data - Sina'!$C$3:$F$17,3,0),VLOOKUP("*"&amp;"Arter"&amp;"*"&amp;"İzlem"&amp;"*",'Data - Hyp'!$B$2:$C$16,2,0))</f>
        <v>1</v>
      </c>
      <c r="J17" s="9">
        <f>VLOOKUP($F17,'Data - Sina'!$C$3:$F$17,4,0)</f>
        <v>0</v>
      </c>
      <c r="K17" s="9" t="str">
        <f t="shared" si="0"/>
        <v>Tamamlanmadı</v>
      </c>
      <c r="L17" s="10">
        <f t="shared" si="1"/>
        <v>0</v>
      </c>
      <c r="M17" s="50">
        <f>IF(L17&gt;=50%,Hesap!H15,Hesap!E15)</f>
        <v>0.98870999999999998</v>
      </c>
      <c r="N17" s="41"/>
      <c r="O17" s="10">
        <f t="shared" si="2"/>
        <v>0</v>
      </c>
      <c r="P17" s="48">
        <f>IF(O17&gt;=40%,Hesap!I15,Hesap!E15)</f>
        <v>0.98870999999999998</v>
      </c>
      <c r="Q17" s="35"/>
      <c r="R17" s="35"/>
      <c r="S17" s="35"/>
      <c r="Z17" s="3"/>
      <c r="AA17" s="3"/>
      <c r="AB17" s="3"/>
      <c r="AH17" s="3"/>
      <c r="AI17" s="3"/>
      <c r="AK17" s="3"/>
      <c r="AL17" s="3"/>
      <c r="AM17" s="3"/>
    </row>
    <row r="18" spans="1:39" ht="15.75" customHeight="1" x14ac:dyDescent="0.25">
      <c r="A18" s="15"/>
      <c r="D18" s="1"/>
      <c r="F18" s="67" t="s">
        <v>100</v>
      </c>
      <c r="G18" s="68"/>
      <c r="H18" s="52">
        <f>VLOOKUP($F18,'Data - Sina'!$C$3:$F$17,2,0)</f>
        <v>0</v>
      </c>
      <c r="I18" s="9">
        <f>IF(D6="Hayır",VLOOKUP($F18,'Data - Sina'!$C$3:$F$17,3,0),VLOOKUP("*"&amp;"Böbrek"&amp;"*"&amp;"İzlem"&amp;"*",'Data - Hyp'!$B$2:$C$16,2,0))</f>
        <v>0</v>
      </c>
      <c r="J18" s="9">
        <f>VLOOKUP($F18,'Data - Sina'!$C$3:$F$17,4,0)</f>
        <v>0</v>
      </c>
      <c r="K18" s="9" t="str">
        <f t="shared" si="0"/>
        <v>Tamamlanmadı</v>
      </c>
      <c r="L18" s="10">
        <f t="shared" si="1"/>
        <v>0</v>
      </c>
      <c r="M18" s="50">
        <f>IF(L18&gt;=50%,Hesap!H16,Hesap!E16)</f>
        <v>0.98870999999999998</v>
      </c>
      <c r="N18" s="41"/>
      <c r="O18" s="10">
        <f t="shared" si="2"/>
        <v>0</v>
      </c>
      <c r="P18" s="48">
        <f>IF(O18&gt;=40%,Hesap!I16,Hesap!E16)</f>
        <v>0.98870999999999998</v>
      </c>
      <c r="Q18" s="35"/>
      <c r="R18" s="35"/>
      <c r="S18" s="35"/>
      <c r="Z18" s="3"/>
      <c r="AA18" s="3"/>
      <c r="AB18" s="3"/>
      <c r="AH18" s="3"/>
      <c r="AI18" s="3"/>
      <c r="AK18" s="3"/>
      <c r="AL18" s="3"/>
      <c r="AM18" s="3"/>
    </row>
    <row r="19" spans="1:39" ht="15.75" customHeight="1" thickBot="1" x14ac:dyDescent="0.3">
      <c r="A19" s="15"/>
      <c r="D19" s="1"/>
      <c r="F19" s="89" t="s">
        <v>99</v>
      </c>
      <c r="G19" s="90"/>
      <c r="H19" s="53">
        <f>VLOOKUP($F19,'Data - Sina'!$C$3:$F$17,2,0)</f>
        <v>0</v>
      </c>
      <c r="I19" s="12">
        <f>IF(D6="Hayır",VLOOKUP($F19,'Data - Sina'!$C$3:$F$17,3,0),VLOOKUP("*"&amp;"İnme"&amp;"*"&amp;"İzlem"&amp;"*",'Data - Hyp'!$B$2:$C$16,2,0))</f>
        <v>0</v>
      </c>
      <c r="J19" s="12">
        <f>VLOOKUP($F19,'Data - Sina'!$C$3:$F$17,4,0)</f>
        <v>0</v>
      </c>
      <c r="K19" s="12" t="str">
        <f t="shared" si="0"/>
        <v>Tamamlanmadı</v>
      </c>
      <c r="L19" s="13">
        <f t="shared" si="1"/>
        <v>0</v>
      </c>
      <c r="M19" s="51">
        <f>IF(L19&gt;=50%,Hesap!H17,Hesap!E17)</f>
        <v>0.98870999999999998</v>
      </c>
      <c r="N19" s="42"/>
      <c r="O19" s="13">
        <f t="shared" si="2"/>
        <v>0</v>
      </c>
      <c r="P19" s="33">
        <f>IF(O19&gt;=40%,Hesap!I17,Hesap!E17)</f>
        <v>0.98870999999999998</v>
      </c>
      <c r="Q19" s="35"/>
      <c r="R19" s="35"/>
      <c r="S19" s="35"/>
      <c r="Z19" s="3"/>
      <c r="AA19" s="3"/>
      <c r="AB19" s="3"/>
      <c r="AH19" s="3"/>
      <c r="AI19" s="3"/>
      <c r="AK19" s="3"/>
      <c r="AL19" s="3"/>
      <c r="AM19" s="3"/>
    </row>
    <row r="20" spans="1:39" ht="15.75" customHeight="1" x14ac:dyDescent="0.25">
      <c r="A20" s="15" t="s">
        <v>42</v>
      </c>
      <c r="Q20" s="35"/>
      <c r="R20" s="35"/>
      <c r="S20" s="35"/>
      <c r="Z20" s="3"/>
      <c r="AA20" s="3"/>
      <c r="AB20" s="3"/>
      <c r="AH20" s="3"/>
      <c r="AI20" s="3"/>
      <c r="AK20" s="3"/>
      <c r="AL20" s="3"/>
      <c r="AM20" s="3"/>
    </row>
    <row r="21" spans="1:39" ht="15.75" customHeight="1" x14ac:dyDescent="0.25">
      <c r="A21" s="15" t="s">
        <v>43</v>
      </c>
      <c r="F21" s="1"/>
      <c r="G21" s="1"/>
      <c r="K21" s="2"/>
      <c r="M21" s="49"/>
      <c r="Q21" s="35"/>
      <c r="R21" s="35"/>
      <c r="S21" s="35"/>
      <c r="Z21" s="3"/>
      <c r="AA21" s="3"/>
      <c r="AB21" s="3"/>
      <c r="AH21" s="3"/>
      <c r="AI21" s="3"/>
      <c r="AK21" s="3"/>
      <c r="AL21" s="3"/>
      <c r="AM21" s="3"/>
    </row>
    <row r="22" spans="1:39" ht="15.75" customHeight="1" x14ac:dyDescent="0.25">
      <c r="A22" s="15" t="s">
        <v>42</v>
      </c>
      <c r="Q22" s="35"/>
      <c r="R22" s="35"/>
      <c r="S22" s="35"/>
      <c r="T22" s="35"/>
      <c r="U22" s="35"/>
      <c r="V22" s="35"/>
      <c r="W22" s="35"/>
      <c r="X22" s="35"/>
      <c r="Y22" s="3"/>
      <c r="Z22" s="3"/>
      <c r="AA22" s="3"/>
      <c r="AB22" s="3"/>
      <c r="AH22" s="3"/>
      <c r="AI22" s="3"/>
      <c r="AK22" s="3"/>
      <c r="AL22" s="3"/>
      <c r="AM22" s="3"/>
    </row>
    <row r="23" spans="1:39" ht="15.75" customHeight="1" x14ac:dyDescent="0.25">
      <c r="A23" s="3"/>
      <c r="E23" s="34"/>
      <c r="F23" s="34"/>
      <c r="G23" s="34"/>
      <c r="H23" s="3"/>
      <c r="I23" s="3"/>
      <c r="J23" s="34"/>
      <c r="K23" s="3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"/>
      <c r="Z23" s="3"/>
      <c r="AA23" s="3"/>
      <c r="AB23" s="3"/>
      <c r="AH23" s="3"/>
      <c r="AI23" s="3"/>
      <c r="AK23" s="3"/>
      <c r="AL23" s="3"/>
      <c r="AM23" s="3"/>
    </row>
    <row r="24" spans="1:39" ht="15.75" customHeight="1" x14ac:dyDescent="0.25">
      <c r="A24" s="3"/>
      <c r="E24" s="34"/>
      <c r="F24" s="34"/>
      <c r="G24" s="34"/>
      <c r="H24" s="3"/>
      <c r="I24" s="38"/>
      <c r="J24" s="34"/>
      <c r="K24" s="3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"/>
      <c r="Z24" s="3"/>
      <c r="AA24" s="3"/>
      <c r="AB24" s="3"/>
      <c r="AH24" s="3"/>
      <c r="AI24" s="3"/>
      <c r="AK24" s="3"/>
      <c r="AL24" s="3"/>
      <c r="AM24" s="3"/>
    </row>
    <row r="25" spans="1:39" ht="15.75" customHeight="1" x14ac:dyDescent="0.25">
      <c r="A25" s="3"/>
      <c r="E25" s="34"/>
      <c r="F25" s="34"/>
      <c r="G25" s="34"/>
      <c r="H25" s="3"/>
      <c r="I25" s="3"/>
      <c r="J25" s="34"/>
      <c r="K25" s="3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K25" s="3"/>
      <c r="AL25" s="3"/>
      <c r="AM25" s="3"/>
    </row>
    <row r="26" spans="1:39" x14ac:dyDescent="0.25">
      <c r="A26" s="3"/>
      <c r="B26" s="3"/>
      <c r="C26" s="3"/>
      <c r="D26" s="34"/>
      <c r="E26" s="34"/>
      <c r="F26" s="34"/>
      <c r="G26" s="34"/>
      <c r="H26" s="3"/>
      <c r="I26" s="3"/>
      <c r="J26" s="34"/>
      <c r="K26" s="3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K26" s="3"/>
      <c r="AL26" s="3"/>
      <c r="AM26" s="3"/>
    </row>
    <row r="27" spans="1:39" x14ac:dyDescent="0.25">
      <c r="A27" s="3"/>
      <c r="E27" s="34"/>
      <c r="F27" s="34"/>
      <c r="G27" s="34"/>
      <c r="H27" s="3"/>
      <c r="I27" s="3"/>
      <c r="J27" s="34"/>
      <c r="K27" s="39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K27" s="3"/>
      <c r="AL27" s="3"/>
      <c r="AM27" s="3"/>
    </row>
    <row r="28" spans="1:39" x14ac:dyDescent="0.25">
      <c r="A28" s="3"/>
      <c r="B28" s="3"/>
      <c r="C28" s="3"/>
      <c r="D28" s="34"/>
      <c r="E28" s="34"/>
      <c r="F28" s="34"/>
      <c r="G28" s="34"/>
      <c r="H28" s="3"/>
      <c r="I28" s="3"/>
      <c r="J28" s="34"/>
      <c r="K28" s="39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"/>
      <c r="AB28" s="3"/>
      <c r="AC28" s="3"/>
      <c r="AD28" s="3"/>
      <c r="AE28" s="3"/>
      <c r="AF28" s="3"/>
      <c r="AG28" s="3"/>
      <c r="AH28" s="3"/>
      <c r="AI28" s="3"/>
      <c r="AK28" s="3"/>
      <c r="AL28" s="3"/>
      <c r="AM28" s="3"/>
    </row>
    <row r="29" spans="1:39" x14ac:dyDescent="0.25">
      <c r="A29" s="3"/>
      <c r="B29" s="3"/>
      <c r="C29" s="3"/>
      <c r="D29" s="34"/>
      <c r="E29" s="34"/>
      <c r="F29" s="34"/>
      <c r="G29" s="34"/>
      <c r="H29" s="3"/>
      <c r="I29" s="3"/>
      <c r="J29" s="34"/>
      <c r="K29" s="3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"/>
      <c r="AB29" s="3"/>
      <c r="AC29" s="3"/>
      <c r="AD29" s="3"/>
      <c r="AE29" s="3"/>
      <c r="AF29" s="3"/>
      <c r="AG29" s="3"/>
      <c r="AH29" s="3"/>
      <c r="AI29" s="3"/>
      <c r="AK29" s="3"/>
      <c r="AL29" s="3"/>
    </row>
    <row r="30" spans="1:39" x14ac:dyDescent="0.25">
      <c r="A30" s="3"/>
      <c r="B30" s="3"/>
      <c r="C30" s="3"/>
      <c r="D30" s="3"/>
      <c r="E30" s="34"/>
      <c r="F30" s="34"/>
      <c r="G30" s="34"/>
      <c r="H30" s="3"/>
      <c r="I30" s="3"/>
      <c r="J30" s="34"/>
      <c r="K30" s="3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"/>
    </row>
    <row r="31" spans="1:39" x14ac:dyDescent="0.25">
      <c r="A31" s="3"/>
      <c r="B31" s="3"/>
      <c r="C31" s="3"/>
      <c r="D31" s="3"/>
      <c r="E31" s="34"/>
      <c r="F31" s="34"/>
      <c r="G31" s="34"/>
      <c r="H31" s="3"/>
      <c r="I31" s="3"/>
      <c r="J31" s="34"/>
      <c r="K31" s="3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"/>
    </row>
    <row r="32" spans="1:39" x14ac:dyDescent="0.25">
      <c r="A32" s="3"/>
      <c r="B32" s="39"/>
      <c r="C32" s="39"/>
      <c r="D32" s="37"/>
      <c r="E32" s="34"/>
      <c r="F32" s="34"/>
      <c r="G32" s="34"/>
      <c r="H32" s="3"/>
      <c r="I32" s="3"/>
      <c r="J32" s="34"/>
      <c r="K32" s="3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"/>
    </row>
    <row r="33" spans="1:25" x14ac:dyDescent="0.25">
      <c r="A33" s="3"/>
      <c r="B33" s="39"/>
      <c r="C33" s="39"/>
      <c r="D33" s="37"/>
      <c r="E33" s="34"/>
      <c r="F33" s="34"/>
      <c r="G33" s="34"/>
      <c r="H33" s="3"/>
      <c r="I33" s="3"/>
      <c r="J33" s="34"/>
      <c r="K33" s="3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"/>
    </row>
    <row r="35" spans="1:25" x14ac:dyDescent="0.25">
      <c r="D35" s="1"/>
    </row>
    <row r="36" spans="1:25" x14ac:dyDescent="0.25">
      <c r="D36" s="1"/>
    </row>
    <row r="37" spans="1:25" x14ac:dyDescent="0.25">
      <c r="D37" s="1"/>
    </row>
    <row r="38" spans="1:25" x14ac:dyDescent="0.25">
      <c r="D38" s="1"/>
    </row>
    <row r="39" spans="1:25" x14ac:dyDescent="0.25">
      <c r="D39" s="1"/>
    </row>
    <row r="40" spans="1:25" x14ac:dyDescent="0.25">
      <c r="D40" s="1"/>
    </row>
    <row r="41" spans="1:25" x14ac:dyDescent="0.25">
      <c r="D41" s="1"/>
    </row>
    <row r="42" spans="1:25" x14ac:dyDescent="0.25">
      <c r="D42" s="1"/>
    </row>
    <row r="43" spans="1:25" x14ac:dyDescent="0.25">
      <c r="D43" s="1"/>
    </row>
    <row r="44" spans="1:25" x14ac:dyDescent="0.25">
      <c r="D44" s="1"/>
    </row>
    <row r="45" spans="1:25" x14ac:dyDescent="0.25">
      <c r="D45" s="1"/>
    </row>
    <row r="46" spans="1:25" x14ac:dyDescent="0.25">
      <c r="D46" s="1"/>
    </row>
    <row r="47" spans="1:25" x14ac:dyDescent="0.25">
      <c r="D47" s="1"/>
    </row>
    <row r="48" spans="1:25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</sheetData>
  <sheetProtection sheet="1" objects="1" scenarios="1"/>
  <mergeCells count="34">
    <mergeCell ref="F17:G17"/>
    <mergeCell ref="F18:G18"/>
    <mergeCell ref="F19:G19"/>
    <mergeCell ref="M2:M4"/>
    <mergeCell ref="N2:N4"/>
    <mergeCell ref="F11:G11"/>
    <mergeCell ref="F12:G12"/>
    <mergeCell ref="F13:G13"/>
    <mergeCell ref="F14:G14"/>
    <mergeCell ref="F15:G15"/>
    <mergeCell ref="F16:G16"/>
    <mergeCell ref="F2:G4"/>
    <mergeCell ref="F5:G5"/>
    <mergeCell ref="F9:G9"/>
    <mergeCell ref="F10:G10"/>
    <mergeCell ref="F6:G6"/>
    <mergeCell ref="O2:O4"/>
    <mergeCell ref="P2:P4"/>
    <mergeCell ref="H2:H4"/>
    <mergeCell ref="I2:I4"/>
    <mergeCell ref="J2:J4"/>
    <mergeCell ref="K2:K4"/>
    <mergeCell ref="L2:L4"/>
    <mergeCell ref="F7:G7"/>
    <mergeCell ref="F8:G8"/>
    <mergeCell ref="B12:C12"/>
    <mergeCell ref="B11:C11"/>
    <mergeCell ref="B4:C4"/>
    <mergeCell ref="B10:C10"/>
    <mergeCell ref="B2:C2"/>
    <mergeCell ref="B3:C3"/>
    <mergeCell ref="B7:C7"/>
    <mergeCell ref="B6:C6"/>
    <mergeCell ref="B8:C8"/>
  </mergeCells>
  <conditionalFormatting sqref="B11 D11">
    <cfRule type="expression" dxfId="7" priority="25">
      <formula>$D$11&lt;$D$10</formula>
    </cfRule>
    <cfRule type="expression" dxfId="6" priority="26">
      <formula>$D$11&gt;=$D$10</formula>
    </cfRule>
  </conditionalFormatting>
  <conditionalFormatting sqref="B12 D12">
    <cfRule type="expression" dxfId="5" priority="27">
      <formula>$D$12&lt;$D$10</formula>
    </cfRule>
    <cfRule type="expression" dxfId="4" priority="28">
      <formula>$D$12&gt;=$D$10</formula>
    </cfRule>
  </conditionalFormatting>
  <conditionalFormatting sqref="O5:O19">
    <cfRule type="expression" dxfId="3" priority="35">
      <formula>$O5&gt;=90%</formula>
    </cfRule>
    <cfRule type="expression" dxfId="2" priority="36">
      <formula>$O5&lt;90%</formula>
    </cfRule>
  </conditionalFormatting>
  <conditionalFormatting sqref="K5:K19 N5:N19 F5:F19">
    <cfRule type="expression" dxfId="1" priority="29">
      <formula>$K5="Tamamlanmadı"</formula>
    </cfRule>
    <cfRule type="expression" dxfId="0" priority="30">
      <formula>$K5="Tamamlandı"</formula>
    </cfRule>
  </conditionalFormatting>
  <dataValidations count="4">
    <dataValidation type="list" allowBlank="1" showInputMessage="1" showErrorMessage="1" sqref="D6" xr:uid="{1F4B0B5B-0F39-4E42-A062-685E6FB67EBE}">
      <formula1>"Evet,Hayır"</formula1>
    </dataValidation>
    <dataValidation type="list" allowBlank="1" showInputMessage="1" showErrorMessage="1" sqref="D2" xr:uid="{86395C38-0173-4D41-9EF0-1CB6B9327945}">
      <formula1>"OCAK,SUBAT,MART,NISAN,MAYIS,HAZIRAN,TEMMUZ,AGUSTOS,EYLUL,EKIM,KASIM,ARALIK"</formula1>
    </dataValidation>
    <dataValidation type="list" allowBlank="1" showInputMessage="1" showErrorMessage="1" sqref="D3" xr:uid="{983DBC0C-D95B-4F6B-834F-A4E7DDD06196}">
      <formula1>"2025,2026"</formula1>
    </dataValidation>
    <dataValidation type="list" allowBlank="1" showInputMessage="1" showErrorMessage="1" sqref="D7" xr:uid="{A83F6A54-9268-43AB-ACC8-1C5A60D4373C}">
      <formula1>"Başarılı,Başarısız"</formula1>
    </dataValidation>
  </dataValidations>
  <pageMargins left="0.7" right="0.7" top="0.75" bottom="0.75" header="0.3" footer="0.3"/>
  <pageSetup paperSize="9" orientation="portrait" r:id="rId1"/>
  <ignoredErrors>
    <ignoredError sqref="M6:M7 M12:M14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54561-4F30-4582-8368-7B2CCF3C66C0}">
  <sheetPr codeName="Sayfa5"/>
  <dimension ref="B2:I19"/>
  <sheetViews>
    <sheetView workbookViewId="0">
      <selection activeCell="E6" sqref="E6"/>
    </sheetView>
  </sheetViews>
  <sheetFormatPr defaultRowHeight="15" x14ac:dyDescent="0.25"/>
  <cols>
    <col min="2" max="2" width="26.140625" customWidth="1"/>
  </cols>
  <sheetData>
    <row r="2" spans="2:9" ht="30" x14ac:dyDescent="0.25">
      <c r="D2" s="130" t="s">
        <v>66</v>
      </c>
      <c r="E2" s="131" t="s">
        <v>41</v>
      </c>
      <c r="F2" s="130" t="s">
        <v>7</v>
      </c>
      <c r="G2" s="130" t="s">
        <v>6</v>
      </c>
      <c r="H2" s="130" t="s">
        <v>39</v>
      </c>
      <c r="I2" s="130" t="s">
        <v>38</v>
      </c>
    </row>
    <row r="3" spans="2:9" x14ac:dyDescent="0.25">
      <c r="B3" t="s">
        <v>0</v>
      </c>
      <c r="D3" s="132">
        <f>VLOOKUP("*"&amp;"Diyabet"&amp;"*"&amp;"Tarama"&amp;"*",'Data - Hyp'!$B$2:$C$16,2,0)</f>
        <v>27</v>
      </c>
      <c r="E3" s="133">
        <v>0.99399999999999999</v>
      </c>
      <c r="F3" s="132">
        <v>1</v>
      </c>
      <c r="G3" s="134">
        <v>1.05</v>
      </c>
      <c r="H3" s="134">
        <f>IF(HYP!L5&gt;=90%,G3,IF(HYP!L5&gt;=40%,1+(G3-F3)/50*(HYP!L5-40%)*100,E3))</f>
        <v>1.05</v>
      </c>
      <c r="I3" s="133">
        <f>IF(HYP!O5&gt;=90%,G3,IF(HYP!O5&gt;=40%,1+(G3-F3)/50*(HYP!O5-40%)*100,E3))</f>
        <v>1.05</v>
      </c>
    </row>
    <row r="4" spans="2:9" x14ac:dyDescent="0.25">
      <c r="B4" t="s">
        <v>35</v>
      </c>
      <c r="D4" s="132">
        <f>VLOOKUP("*"&amp;"Diyabet"&amp;"*"&amp;"İzlem"&amp;"*",'Data - Hyp'!$B$2:$C$16,2,0)</f>
        <v>32</v>
      </c>
      <c r="E4" s="133">
        <v>0.98870999999999998</v>
      </c>
      <c r="F4" s="132">
        <v>1</v>
      </c>
      <c r="G4" s="134">
        <v>1.0248999999999999</v>
      </c>
      <c r="H4" s="134">
        <f>IF(HYP!L6&gt;=90%,G4,IF(HYP!L6&gt;=50%,1+(G4-F4)/40*(HYP!L6-50%)*100,E4))</f>
        <v>1.0248999999999999</v>
      </c>
      <c r="I4" s="133">
        <f>IF(HYP!O6&gt;=90%,G4,IF(HYP!O6&gt;=50%,1+(G4-F4)/40*(HYP!O6-50%)*100,E4))</f>
        <v>1.0248999999999999</v>
      </c>
    </row>
    <row r="5" spans="2:9" x14ac:dyDescent="0.25">
      <c r="B5" t="s">
        <v>27</v>
      </c>
      <c r="D5" s="132">
        <f>VLOOKUP("*"&amp;"Hipertansiyon"&amp;"*"&amp;"Tarama"&amp;"*",'Data - Hyp'!$B$2:$C$16,2,0)</f>
        <v>55</v>
      </c>
      <c r="E5" s="133">
        <v>0.99399999999999999</v>
      </c>
      <c r="F5" s="132">
        <v>1</v>
      </c>
      <c r="G5" s="134">
        <v>1.05</v>
      </c>
      <c r="H5" s="134">
        <f>IF(HYP!L7&gt;=90%,G5,IF(HYP!L7&gt;=40%,1+(G5-F5)/50*(HYP!L7-40%)*100,E5))</f>
        <v>1.05</v>
      </c>
      <c r="I5" s="133">
        <f>IF(HYP!O7&gt;=90%,G5,IF(HYP!O7&gt;=40%,1+(G5-F5)/50*(HYP!O7-40%)*100,HYP!P7))</f>
        <v>1.05</v>
      </c>
    </row>
    <row r="6" spans="2:9" x14ac:dyDescent="0.25">
      <c r="B6" t="s">
        <v>3</v>
      </c>
      <c r="D6" s="132">
        <f>VLOOKUP("*"&amp;"Hipertansiyon"&amp;"*"&amp;"İzlem"&amp;"*",'Data - Hyp'!$B$2:$C$16,2,0)</f>
        <v>37</v>
      </c>
      <c r="E6" s="133">
        <v>0.98870999999999998</v>
      </c>
      <c r="F6" s="132">
        <v>1</v>
      </c>
      <c r="G6" s="134">
        <v>1.0248999999999999</v>
      </c>
      <c r="H6" s="134">
        <f>IF(HYP!L8&gt;=90%,G6,IF(HYP!L8&gt;=50%,1+(G6-F6)/40*(HYP!L8-50%)*100,0))</f>
        <v>1.0248999999999999</v>
      </c>
      <c r="I6" s="133">
        <f>IF(HYP!O8&gt;=90%,G6,IF(HYP!O8&gt;=50%,1+(G6-F6)/40*(HYP!O8-50%)*100,E6))</f>
        <v>1.0248999999999999</v>
      </c>
    </row>
    <row r="7" spans="2:9" x14ac:dyDescent="0.25">
      <c r="B7" t="s">
        <v>28</v>
      </c>
      <c r="D7" s="132"/>
      <c r="E7" s="133">
        <v>0.99399999999999999</v>
      </c>
      <c r="F7" s="132">
        <v>1</v>
      </c>
      <c r="G7" s="134">
        <v>1.03</v>
      </c>
      <c r="H7" s="134">
        <f>IF(HYP!L9&gt;=90%,G7,IF(HYP!L9&gt;=50%,1+(G7-F7)/40*(HYP!L9-50%)*100,E7))</f>
        <v>0.99399999999999999</v>
      </c>
      <c r="I7" s="133">
        <f>IF(HYP!O9&gt;=90%,G7,IF(HYP!O9&gt;=50%,1+(G7-F7)/40*(HYP!O9-50%)*100,E7))</f>
        <v>0.99399999999999999</v>
      </c>
    </row>
    <row r="8" spans="2:9" x14ac:dyDescent="0.25">
      <c r="B8" t="s">
        <v>29</v>
      </c>
      <c r="D8" s="132"/>
      <c r="E8" s="133">
        <v>0.99399999999999999</v>
      </c>
      <c r="F8" s="132">
        <v>1</v>
      </c>
      <c r="G8" s="134">
        <v>1.0309999999999999</v>
      </c>
      <c r="H8" s="134">
        <f>IF(HYP!L10&gt;=90%,G8,IF(HYP!L10&gt;=40%,1+(G8-F8)/50*(HYP!L10-40%)*100,E8))</f>
        <v>0.99399999999999999</v>
      </c>
      <c r="I8" s="133">
        <f>IF(HYP!O10&gt;=90%,G8,IF(HYP!O10&gt;=40%,1+(G8-F8)/50*(HYP!O10-40%)*100,E8))</f>
        <v>0.99399999999999999</v>
      </c>
    </row>
    <row r="9" spans="2:9" x14ac:dyDescent="0.25">
      <c r="B9" t="s">
        <v>30</v>
      </c>
      <c r="D9" s="132"/>
      <c r="E9" s="133">
        <v>0.99399999999999999</v>
      </c>
      <c r="F9" s="132">
        <v>1</v>
      </c>
      <c r="G9" s="134">
        <v>1.03</v>
      </c>
      <c r="H9" s="134">
        <f>IF(HYP!L11&gt;=90%,G9,IF(HYP!L11&gt;=50%,1+(G9-F9)/40*(HYP!L11-50%)*100,E9))</f>
        <v>1.0125</v>
      </c>
      <c r="I9" s="133">
        <f>IF(HYP!O11&gt;=90%,G9,IF(HYP!O11&gt;=50%,1+(G9-F9)/40*(HYP!O11-50%)*100,E9))</f>
        <v>1.0125</v>
      </c>
    </row>
    <row r="10" spans="2:9" x14ac:dyDescent="0.25">
      <c r="B10" t="s">
        <v>31</v>
      </c>
      <c r="D10" s="132">
        <f>VLOOKUP("*"&amp;"kardiyovasküler"&amp;"*"&amp;"Tarama"&amp;"*",'Data - Hyp'!$B$2:$C$16,2,0)</f>
        <v>15</v>
      </c>
      <c r="E10" s="133">
        <v>0.99399999999999999</v>
      </c>
      <c r="F10" s="132">
        <v>1</v>
      </c>
      <c r="G10" s="134">
        <v>1.05</v>
      </c>
      <c r="H10" s="134">
        <f>IF(HYP!L12&gt;=90%,G10,IF(HYP!L12&gt;=40%,1+(G10-F10)/50*(HYP!L12-40%)*100,E10))</f>
        <v>1.05</v>
      </c>
      <c r="I10" s="133">
        <f>IF(HYP!O12&gt;=90%,G10,IF(HYP!O12&gt;=40%,1+(G10-F10)/50*(HYP!O12-40%)*100,E10))</f>
        <v>1.05</v>
      </c>
    </row>
    <row r="11" spans="2:9" x14ac:dyDescent="0.25">
      <c r="B11" t="s">
        <v>44</v>
      </c>
      <c r="D11" s="132">
        <f>VLOOKUP("*"&amp;"Kardiyovasküler"&amp;"*"&amp;"İzlem"&amp;"*",'Data - Hyp'!$B$2:$C$16,2,0)</f>
        <v>32</v>
      </c>
      <c r="E11" s="133">
        <v>0.98870999999999998</v>
      </c>
      <c r="F11" s="132">
        <v>1</v>
      </c>
      <c r="G11" s="134">
        <v>1.0248999999999999</v>
      </c>
      <c r="H11" s="134">
        <f>IF(HYP!L13&gt;=90%,G11,IF(HYP!L13&gt;=50%,1+(G11-F11)/40*(HYP!L13-50%)*100,E11))</f>
        <v>1.0248999999999999</v>
      </c>
      <c r="I11" s="133">
        <f>IF(HYP!O13&gt;=90%,G11,IF(HYP!O13&gt;=50%,1+(G11-F11)/40*(HYP!O13-50%)*100,E11))</f>
        <v>1.0248999999999999</v>
      </c>
    </row>
    <row r="12" spans="2:9" x14ac:dyDescent="0.25">
      <c r="B12" t="s">
        <v>32</v>
      </c>
      <c r="D12" s="132">
        <f>VLOOKUP("*"&amp;"Obezite"&amp;"*"&amp;"Tarama"&amp;"*",'Data - Hyp'!$B$2:$C$16,2,0)</f>
        <v>53</v>
      </c>
      <c r="E12" s="133">
        <v>0.99399999999999999</v>
      </c>
      <c r="F12" s="132">
        <v>1</v>
      </c>
      <c r="G12" s="134">
        <v>1.0169999999999999</v>
      </c>
      <c r="H12" s="134">
        <f>IF(HYP!L14&gt;=90%,G12,IF(HYP!L14&gt;=40%,1+(G12-F12)/50*(HYP!L14-40%)*100,E12))</f>
        <v>1.0169999999999999</v>
      </c>
      <c r="I12" s="133">
        <f>IF(HYP!O14&gt;=90%,G12,IF(HYP!O14&gt;=40%,1+(G12-F12)/50*(HYP!O14-40%)*100,E12))</f>
        <v>1.0169999999999999</v>
      </c>
    </row>
    <row r="13" spans="2:9" x14ac:dyDescent="0.25">
      <c r="B13" t="s">
        <v>34</v>
      </c>
      <c r="D13" s="132">
        <f>VLOOKUP("*"&amp;"Obezite"&amp;"*"&amp;"İzlem"&amp;"*",'Data - Hyp'!$B$2:$C$16,2,0)</f>
        <v>16</v>
      </c>
      <c r="E13" s="133">
        <v>0.98870999999999998</v>
      </c>
      <c r="F13" s="132">
        <v>1</v>
      </c>
      <c r="G13" s="134">
        <v>1.0248999999999999</v>
      </c>
      <c r="H13" s="134">
        <f>IF(HYP!L15&gt;=90%,G13,IF(HYP!L15&gt;=50%,1+(G13-F13)/40*(HYP!L15-50%)*100,E13))</f>
        <v>1.003219827586207</v>
      </c>
      <c r="I13" s="133">
        <f>IF(HYP!O15&gt;=90%,G13,IF(HYP!O15&gt;=50%,1+(G13-F13)/40*(HYP!O15-50%)*100,E13))</f>
        <v>1.003219827586207</v>
      </c>
    </row>
    <row r="14" spans="2:9" x14ac:dyDescent="0.25">
      <c r="B14" t="s">
        <v>33</v>
      </c>
      <c r="D14" s="132">
        <f>VLOOKUP("*"&amp;"Yaşlı"&amp;"*"&amp;"İzlem"&amp;"*",'Data - Hyp'!$B$2:$C$16,2,0)</f>
        <v>11</v>
      </c>
      <c r="E14" s="133">
        <v>0.98870999999999998</v>
      </c>
      <c r="F14" s="132">
        <v>1</v>
      </c>
      <c r="G14" s="134">
        <v>1.0248999999999999</v>
      </c>
      <c r="H14" s="134">
        <f>IF(HYP!L16&gt;=90%,G14,IF(HYP!L16&gt;=50%,1+(G14-F14)/40*(HYP!L16-50%)*100,E14))</f>
        <v>1.0248999999999999</v>
      </c>
      <c r="I14" s="133">
        <f>IF(HYP!O16&gt;=90%,G14,IF(HYP!O16&gt;=50%,1+(G14-F14)/40*(HYP!O16-50%)*100,E14))</f>
        <v>1.0248999999999999</v>
      </c>
    </row>
    <row r="15" spans="2:9" x14ac:dyDescent="0.25">
      <c r="B15" t="s">
        <v>97</v>
      </c>
      <c r="D15" s="132">
        <f>VLOOKUP("*"&amp;"Arter"&amp;"*"&amp;"İzlem"&amp;"*",'Data - Hyp'!$B$2:$C$16,2,0)</f>
        <v>1</v>
      </c>
      <c r="E15" s="133">
        <v>0.98870999999999998</v>
      </c>
      <c r="F15" s="132">
        <v>1</v>
      </c>
      <c r="G15" s="134">
        <v>1.0248999999999999</v>
      </c>
      <c r="H15" s="134">
        <f>IF(HYP!L17&gt;=90%,G15,IF(HYP!L17&gt;=50%,1+(G15-F15)/40*(HYP!L17-50%)*100,E15))</f>
        <v>0.98870999999999998</v>
      </c>
      <c r="I15" s="133">
        <f>IF(HYP!O17&gt;=90%,G15,IF(HYP!O17&gt;=50%,1+(G15-F15)/40*(HYP!O17-50%)*100,E15))</f>
        <v>0.98870999999999998</v>
      </c>
    </row>
    <row r="16" spans="2:9" x14ac:dyDescent="0.25">
      <c r="B16" t="s">
        <v>98</v>
      </c>
      <c r="D16" s="132">
        <f>VLOOKUP("*"&amp;"Böbrek"&amp;"*"&amp;"İzlem"&amp;"*",'Data - Hyp'!$B$2:$C$16,2,0)</f>
        <v>0</v>
      </c>
      <c r="E16" s="133">
        <v>0.98870999999999998</v>
      </c>
      <c r="F16" s="132">
        <v>1</v>
      </c>
      <c r="G16" s="134">
        <v>1.0248999999999999</v>
      </c>
      <c r="H16" s="134">
        <f>IF(HYP!L18&gt;=90%,G16,IF(HYP!L18&gt;=50%,1+(G16-F16)/40*(HYP!L18-50%)*100,E16))</f>
        <v>0.98870999999999998</v>
      </c>
      <c r="I16" s="133">
        <f>IF(HYP!O18&gt;=90%,G16,IF(HYP!O18&gt;=50%,1+(G16-F16)/40*(HYP!O18-50%)*100,E16))</f>
        <v>0.98870999999999998</v>
      </c>
    </row>
    <row r="17" spans="2:9" x14ac:dyDescent="0.25">
      <c r="B17" t="s">
        <v>99</v>
      </c>
      <c r="D17" s="132">
        <f>VLOOKUP("*"&amp;"İnme"&amp;"*"&amp;"İzlem"&amp;"*",'Data - Hyp'!$B$2:$C$16,2,0)</f>
        <v>0</v>
      </c>
      <c r="E17" s="133">
        <v>0.98870999999999998</v>
      </c>
      <c r="F17" s="132">
        <v>1</v>
      </c>
      <c r="G17" s="134">
        <v>1.0248999999999999</v>
      </c>
      <c r="H17" s="134">
        <f>IF(HYP!L19&gt;=90%,G17,IF(HYP!L19&gt;=50%,1+(G17-F17)/40*(HYP!L19-50%)*100,E17))</f>
        <v>0.98870999999999998</v>
      </c>
      <c r="I17" s="133">
        <f>IF(HYP!O19&gt;=90%,G17,IF(HYP!O19&gt;=50%,1+(G17-F17)/40*(HYP!O19-50%)*100,E17))</f>
        <v>0.98870999999999998</v>
      </c>
    </row>
    <row r="18" spans="2:9" x14ac:dyDescent="0.25">
      <c r="D18" s="135"/>
      <c r="E18" s="133"/>
      <c r="F18" s="132"/>
      <c r="G18" s="134"/>
      <c r="H18" s="134"/>
      <c r="I18" s="135"/>
    </row>
    <row r="19" spans="2:9" x14ac:dyDescent="0.25">
      <c r="D19" s="135"/>
      <c r="E19" s="133">
        <v>0.99399999999999999</v>
      </c>
      <c r="F19" s="132">
        <v>1</v>
      </c>
      <c r="G19" s="134">
        <v>1.03</v>
      </c>
      <c r="H19" s="134"/>
      <c r="I19" s="1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27D66-2490-46DA-967A-22F19D4F1538}">
  <sheetPr codeName="Sayfa2"/>
  <dimension ref="B2:I17"/>
  <sheetViews>
    <sheetView workbookViewId="0">
      <selection activeCell="B2" sqref="B2:I17"/>
    </sheetView>
  </sheetViews>
  <sheetFormatPr defaultRowHeight="15" x14ac:dyDescent="0.25"/>
  <cols>
    <col min="2" max="2" width="33.5703125" customWidth="1"/>
    <col min="3" max="3" width="29.140625" bestFit="1" customWidth="1"/>
    <col min="4" max="6" width="5" customWidth="1"/>
  </cols>
  <sheetData>
    <row r="2" spans="2:9" x14ac:dyDescent="0.25">
      <c r="B2" t="s">
        <v>9</v>
      </c>
      <c r="C2" t="s">
        <v>2</v>
      </c>
    </row>
    <row r="3" spans="2:9" x14ac:dyDescent="0.25">
      <c r="B3" t="s">
        <v>10</v>
      </c>
      <c r="C3" t="s">
        <v>22</v>
      </c>
      <c r="D3">
        <v>12</v>
      </c>
      <c r="E3">
        <v>28</v>
      </c>
      <c r="F3">
        <v>70</v>
      </c>
      <c r="G3" t="s">
        <v>84</v>
      </c>
      <c r="H3" t="s">
        <v>85</v>
      </c>
      <c r="I3" t="s">
        <v>12</v>
      </c>
    </row>
    <row r="4" spans="2:9" x14ac:dyDescent="0.25">
      <c r="B4" t="s">
        <v>10</v>
      </c>
      <c r="C4" t="s">
        <v>11</v>
      </c>
      <c r="D4">
        <v>14</v>
      </c>
      <c r="E4">
        <v>24</v>
      </c>
      <c r="F4">
        <v>36</v>
      </c>
      <c r="G4" t="s">
        <v>86</v>
      </c>
      <c r="H4" t="s">
        <v>87</v>
      </c>
      <c r="I4" t="s">
        <v>12</v>
      </c>
    </row>
    <row r="5" spans="2:9" x14ac:dyDescent="0.25">
      <c r="B5" t="s">
        <v>10</v>
      </c>
      <c r="C5" t="s">
        <v>13</v>
      </c>
      <c r="D5">
        <v>28</v>
      </c>
      <c r="E5">
        <v>26</v>
      </c>
      <c r="F5">
        <v>25</v>
      </c>
      <c r="G5" t="s">
        <v>88</v>
      </c>
      <c r="H5" t="s">
        <v>89</v>
      </c>
      <c r="I5" t="s">
        <v>12</v>
      </c>
    </row>
    <row r="6" spans="2:9" x14ac:dyDescent="0.25">
      <c r="B6" t="s">
        <v>10</v>
      </c>
      <c r="C6" t="s">
        <v>23</v>
      </c>
      <c r="D6">
        <v>70</v>
      </c>
      <c r="E6">
        <v>49</v>
      </c>
      <c r="F6">
        <v>15</v>
      </c>
      <c r="G6" t="s">
        <v>90</v>
      </c>
      <c r="H6" t="s">
        <v>91</v>
      </c>
      <c r="I6" t="s">
        <v>12</v>
      </c>
    </row>
    <row r="7" spans="2:9" x14ac:dyDescent="0.25">
      <c r="B7" t="s">
        <v>10</v>
      </c>
      <c r="C7" t="s">
        <v>14</v>
      </c>
      <c r="D7">
        <v>67</v>
      </c>
      <c r="E7">
        <v>54</v>
      </c>
      <c r="F7">
        <v>9</v>
      </c>
      <c r="G7" t="s">
        <v>92</v>
      </c>
      <c r="H7" t="s">
        <v>93</v>
      </c>
      <c r="I7" t="s">
        <v>12</v>
      </c>
    </row>
    <row r="8" spans="2:9" x14ac:dyDescent="0.25">
      <c r="B8" t="s">
        <v>10</v>
      </c>
      <c r="C8" t="s">
        <v>15</v>
      </c>
      <c r="D8">
        <v>42</v>
      </c>
      <c r="E8">
        <v>32</v>
      </c>
      <c r="F8">
        <v>7</v>
      </c>
      <c r="G8" t="s">
        <v>94</v>
      </c>
      <c r="H8" t="s">
        <v>88</v>
      </c>
      <c r="I8" t="s">
        <v>12</v>
      </c>
    </row>
    <row r="9" spans="2:9" x14ac:dyDescent="0.25">
      <c r="B9" t="s">
        <v>10</v>
      </c>
      <c r="C9" t="s">
        <v>25</v>
      </c>
      <c r="D9">
        <v>12</v>
      </c>
      <c r="E9">
        <v>10</v>
      </c>
      <c r="F9">
        <v>4</v>
      </c>
      <c r="G9" t="s">
        <v>79</v>
      </c>
      <c r="H9" t="s">
        <v>80</v>
      </c>
      <c r="I9" t="s">
        <v>12</v>
      </c>
    </row>
    <row r="10" spans="2:9" x14ac:dyDescent="0.25">
      <c r="B10" t="s">
        <v>10</v>
      </c>
      <c r="C10" t="s">
        <v>18</v>
      </c>
      <c r="D10">
        <v>6</v>
      </c>
      <c r="E10">
        <v>3</v>
      </c>
      <c r="F10">
        <v>1</v>
      </c>
      <c r="G10" t="s">
        <v>45</v>
      </c>
      <c r="H10" t="s">
        <v>47</v>
      </c>
      <c r="I10" t="s">
        <v>12</v>
      </c>
    </row>
    <row r="11" spans="2:9" x14ac:dyDescent="0.25">
      <c r="B11" t="s">
        <v>10</v>
      </c>
      <c r="C11" t="s">
        <v>21</v>
      </c>
      <c r="D11">
        <v>16</v>
      </c>
      <c r="E11">
        <v>13</v>
      </c>
      <c r="F11">
        <v>1</v>
      </c>
      <c r="G11" t="s">
        <v>48</v>
      </c>
      <c r="H11" t="s">
        <v>78</v>
      </c>
      <c r="I11" t="s">
        <v>12</v>
      </c>
    </row>
    <row r="12" spans="2:9" x14ac:dyDescent="0.25">
      <c r="B12" t="s">
        <v>10</v>
      </c>
      <c r="C12" t="s">
        <v>16</v>
      </c>
      <c r="D12">
        <v>18</v>
      </c>
      <c r="E12">
        <v>2</v>
      </c>
      <c r="F12">
        <v>0</v>
      </c>
      <c r="G12" t="s">
        <v>46</v>
      </c>
      <c r="H12" t="s">
        <v>46</v>
      </c>
    </row>
    <row r="13" spans="2:9" x14ac:dyDescent="0.25">
      <c r="B13" t="s">
        <v>10</v>
      </c>
      <c r="C13" t="s">
        <v>17</v>
      </c>
      <c r="D13">
        <v>15</v>
      </c>
      <c r="E13">
        <v>5</v>
      </c>
      <c r="F13">
        <v>0</v>
      </c>
      <c r="G13" t="s">
        <v>95</v>
      </c>
      <c r="H13" t="s">
        <v>95</v>
      </c>
    </row>
    <row r="14" spans="2:9" x14ac:dyDescent="0.25">
      <c r="B14" t="s">
        <v>10</v>
      </c>
      <c r="C14" t="s">
        <v>19</v>
      </c>
      <c r="D14">
        <v>0</v>
      </c>
      <c r="E14">
        <v>0</v>
      </c>
      <c r="F14">
        <v>0</v>
      </c>
    </row>
    <row r="15" spans="2:9" x14ac:dyDescent="0.25">
      <c r="B15" t="s">
        <v>10</v>
      </c>
      <c r="C15" t="s">
        <v>20</v>
      </c>
      <c r="D15">
        <v>0</v>
      </c>
      <c r="E15">
        <v>0</v>
      </c>
      <c r="F15">
        <v>0</v>
      </c>
    </row>
    <row r="16" spans="2:9" x14ac:dyDescent="0.25">
      <c r="B16" t="s">
        <v>10</v>
      </c>
      <c r="C16" t="s">
        <v>24</v>
      </c>
      <c r="D16">
        <v>29</v>
      </c>
      <c r="E16">
        <v>14</v>
      </c>
      <c r="F16">
        <v>0</v>
      </c>
      <c r="G16" t="s">
        <v>96</v>
      </c>
      <c r="H16" t="s">
        <v>96</v>
      </c>
    </row>
    <row r="17" spans="2:6" x14ac:dyDescent="0.25">
      <c r="B17" t="s">
        <v>10</v>
      </c>
      <c r="C17" t="s">
        <v>26</v>
      </c>
      <c r="D17">
        <v>0</v>
      </c>
      <c r="E17">
        <v>0</v>
      </c>
      <c r="F1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67574-FDCE-4639-BD92-5B69CD1DA693}">
  <sheetPr codeName="Sayfa3"/>
  <dimension ref="B2:C16"/>
  <sheetViews>
    <sheetView workbookViewId="0">
      <selection activeCell="C2" sqref="C2:C16"/>
    </sheetView>
  </sheetViews>
  <sheetFormatPr defaultRowHeight="15" customHeight="1" x14ac:dyDescent="0.25"/>
  <cols>
    <col min="2" max="2" width="42.7109375" bestFit="1" customWidth="1"/>
    <col min="3" max="3" width="3" bestFit="1" customWidth="1"/>
  </cols>
  <sheetData>
    <row r="2" spans="2:3" ht="15" customHeight="1" x14ac:dyDescent="0.25">
      <c r="B2" s="24" t="s">
        <v>50</v>
      </c>
      <c r="C2">
        <v>55</v>
      </c>
    </row>
    <row r="3" spans="2:3" ht="15" customHeight="1" x14ac:dyDescent="0.25">
      <c r="B3" t="s">
        <v>15</v>
      </c>
      <c r="C3">
        <v>37</v>
      </c>
    </row>
    <row r="4" spans="2:3" ht="15" customHeight="1" x14ac:dyDescent="0.25">
      <c r="B4" t="s">
        <v>51</v>
      </c>
      <c r="C4">
        <v>15</v>
      </c>
    </row>
    <row r="5" spans="2:3" ht="15" customHeight="1" x14ac:dyDescent="0.25">
      <c r="B5" t="s">
        <v>52</v>
      </c>
      <c r="C5">
        <v>32</v>
      </c>
    </row>
    <row r="6" spans="2:3" ht="15" customHeight="1" x14ac:dyDescent="0.25">
      <c r="B6" t="s">
        <v>53</v>
      </c>
      <c r="C6">
        <v>27</v>
      </c>
    </row>
    <row r="7" spans="2:3" ht="15" customHeight="1" x14ac:dyDescent="0.25">
      <c r="B7" t="s">
        <v>54</v>
      </c>
      <c r="C7">
        <v>32</v>
      </c>
    </row>
    <row r="8" spans="2:3" ht="15" customHeight="1" x14ac:dyDescent="0.25">
      <c r="B8" t="s">
        <v>55</v>
      </c>
      <c r="C8">
        <v>53</v>
      </c>
    </row>
    <row r="9" spans="2:3" ht="15" customHeight="1" x14ac:dyDescent="0.25">
      <c r="B9" t="s">
        <v>56</v>
      </c>
      <c r="C9">
        <v>16</v>
      </c>
    </row>
    <row r="10" spans="2:3" ht="15" customHeight="1" x14ac:dyDescent="0.25">
      <c r="B10" t="s">
        <v>57</v>
      </c>
      <c r="C10">
        <v>1</v>
      </c>
    </row>
    <row r="11" spans="2:3" ht="15" customHeight="1" x14ac:dyDescent="0.25">
      <c r="B11" t="s">
        <v>58</v>
      </c>
      <c r="C11">
        <v>11</v>
      </c>
    </row>
    <row r="12" spans="2:3" ht="15" customHeight="1" x14ac:dyDescent="0.25">
      <c r="B12" t="s">
        <v>59</v>
      </c>
      <c r="C12">
        <v>0</v>
      </c>
    </row>
    <row r="13" spans="2:3" ht="15" customHeight="1" x14ac:dyDescent="0.25">
      <c r="B13" t="s">
        <v>60</v>
      </c>
      <c r="C13">
        <v>0</v>
      </c>
    </row>
    <row r="14" spans="2:3" ht="15" customHeight="1" x14ac:dyDescent="0.25">
      <c r="B14" t="s">
        <v>61</v>
      </c>
      <c r="C14">
        <v>0</v>
      </c>
    </row>
    <row r="15" spans="2:3" ht="15" customHeight="1" x14ac:dyDescent="0.25">
      <c r="B15" t="s">
        <v>62</v>
      </c>
      <c r="C15">
        <v>0</v>
      </c>
    </row>
    <row r="16" spans="2:3" ht="15" customHeight="1" x14ac:dyDescent="0.25">
      <c r="B16" t="s">
        <v>63</v>
      </c>
      <c r="C1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C2C38-DBEF-4FC6-B7BB-4769373B01CA}">
  <sheetPr codeName="Sayfa4"/>
  <dimension ref="B1:T46"/>
  <sheetViews>
    <sheetView workbookViewId="0">
      <selection activeCell="C1" sqref="C1"/>
    </sheetView>
  </sheetViews>
  <sheetFormatPr defaultRowHeight="15" x14ac:dyDescent="0.25"/>
  <cols>
    <col min="1" max="1" width="3.85546875" customWidth="1"/>
  </cols>
  <sheetData>
    <row r="1" spans="2:20" ht="15.75" thickBot="1" x14ac:dyDescent="0.3"/>
    <row r="2" spans="2:20" ht="15.75" thickBot="1" x14ac:dyDescent="0.3">
      <c r="B2" s="101" t="s">
        <v>72</v>
      </c>
      <c r="C2" s="102"/>
      <c r="D2" s="102"/>
      <c r="E2" s="102"/>
      <c r="F2" s="102"/>
      <c r="G2" s="102"/>
      <c r="H2" s="102"/>
      <c r="I2" s="103"/>
      <c r="K2" s="101" t="s">
        <v>76</v>
      </c>
      <c r="L2" s="102"/>
      <c r="M2" s="102"/>
      <c r="N2" s="102"/>
      <c r="O2" s="102"/>
      <c r="P2" s="102"/>
      <c r="Q2" s="102"/>
      <c r="R2" s="103"/>
    </row>
    <row r="3" spans="2:20" ht="15.75" thickBot="1" x14ac:dyDescent="0.3"/>
    <row r="4" spans="2:20" ht="15" customHeight="1" x14ac:dyDescent="0.25">
      <c r="B4" s="113" t="s">
        <v>71</v>
      </c>
      <c r="C4" s="107" t="s">
        <v>104</v>
      </c>
      <c r="D4" s="107"/>
      <c r="E4" s="107"/>
      <c r="F4" s="107"/>
      <c r="G4" s="107"/>
      <c r="H4" s="107"/>
      <c r="I4" s="108"/>
      <c r="J4" s="19"/>
      <c r="K4" s="127" t="s">
        <v>74</v>
      </c>
      <c r="L4" s="121" t="s">
        <v>64</v>
      </c>
      <c r="M4" s="121"/>
      <c r="N4" s="121"/>
      <c r="O4" s="121"/>
      <c r="P4" s="121"/>
      <c r="Q4" s="121"/>
      <c r="R4" s="122"/>
      <c r="S4" s="20"/>
      <c r="T4" s="20"/>
    </row>
    <row r="5" spans="2:20" x14ac:dyDescent="0.25">
      <c r="B5" s="105"/>
      <c r="C5" s="109"/>
      <c r="D5" s="109"/>
      <c r="E5" s="109"/>
      <c r="F5" s="109"/>
      <c r="G5" s="109"/>
      <c r="H5" s="109"/>
      <c r="I5" s="110"/>
      <c r="J5" s="19"/>
      <c r="K5" s="128"/>
      <c r="L5" s="123"/>
      <c r="M5" s="123"/>
      <c r="N5" s="123"/>
      <c r="O5" s="123"/>
      <c r="P5" s="123"/>
      <c r="Q5" s="123"/>
      <c r="R5" s="124"/>
      <c r="S5" s="20"/>
      <c r="T5" s="20"/>
    </row>
    <row r="6" spans="2:20" x14ac:dyDescent="0.25">
      <c r="B6" s="105"/>
      <c r="C6" s="109"/>
      <c r="D6" s="109"/>
      <c r="E6" s="109"/>
      <c r="F6" s="109"/>
      <c r="G6" s="109"/>
      <c r="H6" s="109"/>
      <c r="I6" s="110"/>
      <c r="J6" s="19"/>
      <c r="K6" s="128"/>
      <c r="L6" s="123"/>
      <c r="M6" s="123"/>
      <c r="N6" s="123"/>
      <c r="O6" s="123"/>
      <c r="P6" s="123"/>
      <c r="Q6" s="123"/>
      <c r="R6" s="124"/>
      <c r="S6" s="20"/>
      <c r="T6" s="20"/>
    </row>
    <row r="7" spans="2:20" x14ac:dyDescent="0.25">
      <c r="B7" s="105"/>
      <c r="C7" s="109"/>
      <c r="D7" s="109"/>
      <c r="E7" s="109"/>
      <c r="F7" s="109"/>
      <c r="G7" s="109"/>
      <c r="H7" s="109"/>
      <c r="I7" s="110"/>
      <c r="J7" s="19"/>
      <c r="K7" s="128"/>
      <c r="L7" s="123"/>
      <c r="M7" s="123"/>
      <c r="N7" s="123"/>
      <c r="O7" s="123"/>
      <c r="P7" s="123"/>
      <c r="Q7" s="123"/>
      <c r="R7" s="124"/>
      <c r="S7" s="20"/>
      <c r="T7" s="20"/>
    </row>
    <row r="8" spans="2:20" x14ac:dyDescent="0.25">
      <c r="B8" s="105"/>
      <c r="C8" s="109"/>
      <c r="D8" s="109"/>
      <c r="E8" s="109"/>
      <c r="F8" s="109"/>
      <c r="G8" s="109"/>
      <c r="H8" s="109"/>
      <c r="I8" s="110"/>
      <c r="J8" s="19"/>
      <c r="K8" s="128"/>
      <c r="L8" s="123"/>
      <c r="M8" s="123"/>
      <c r="N8" s="123"/>
      <c r="O8" s="123"/>
      <c r="P8" s="123"/>
      <c r="Q8" s="123"/>
      <c r="R8" s="124"/>
      <c r="S8" s="20"/>
      <c r="T8" s="20"/>
    </row>
    <row r="9" spans="2:20" x14ac:dyDescent="0.25">
      <c r="B9" s="105"/>
      <c r="C9" s="109"/>
      <c r="D9" s="109"/>
      <c r="E9" s="109"/>
      <c r="F9" s="109"/>
      <c r="G9" s="109"/>
      <c r="H9" s="109"/>
      <c r="I9" s="110"/>
      <c r="J9" s="19"/>
      <c r="K9" s="128"/>
      <c r="L9" s="123"/>
      <c r="M9" s="123"/>
      <c r="N9" s="123"/>
      <c r="O9" s="123"/>
      <c r="P9" s="123"/>
      <c r="Q9" s="123"/>
      <c r="R9" s="124"/>
      <c r="S9" s="20"/>
      <c r="T9" s="20"/>
    </row>
    <row r="10" spans="2:20" x14ac:dyDescent="0.25">
      <c r="B10" s="105"/>
      <c r="C10" s="109"/>
      <c r="D10" s="109"/>
      <c r="E10" s="109"/>
      <c r="F10" s="109"/>
      <c r="G10" s="109"/>
      <c r="H10" s="109"/>
      <c r="I10" s="110"/>
      <c r="J10" s="19"/>
      <c r="K10" s="128"/>
      <c r="L10" s="123"/>
      <c r="M10" s="123"/>
      <c r="N10" s="123"/>
      <c r="O10" s="123"/>
      <c r="P10" s="123"/>
      <c r="Q10" s="123"/>
      <c r="R10" s="124"/>
      <c r="S10" s="20"/>
      <c r="T10" s="20"/>
    </row>
    <row r="11" spans="2:20" x14ac:dyDescent="0.25">
      <c r="B11" s="105"/>
      <c r="C11" s="109"/>
      <c r="D11" s="109"/>
      <c r="E11" s="109"/>
      <c r="F11" s="109"/>
      <c r="G11" s="109"/>
      <c r="H11" s="109"/>
      <c r="I11" s="110"/>
      <c r="J11" s="19"/>
      <c r="K11" s="128"/>
      <c r="L11" s="123"/>
      <c r="M11" s="123"/>
      <c r="N11" s="123"/>
      <c r="O11" s="123"/>
      <c r="P11" s="123"/>
      <c r="Q11" s="123"/>
      <c r="R11" s="124"/>
      <c r="S11" s="20"/>
      <c r="T11" s="20"/>
    </row>
    <row r="12" spans="2:20" x14ac:dyDescent="0.25">
      <c r="B12" s="105"/>
      <c r="C12" s="109"/>
      <c r="D12" s="109"/>
      <c r="E12" s="109"/>
      <c r="F12" s="109"/>
      <c r="G12" s="109"/>
      <c r="H12" s="109"/>
      <c r="I12" s="110"/>
      <c r="J12" s="19"/>
      <c r="K12" s="128"/>
      <c r="L12" s="123"/>
      <c r="M12" s="123"/>
      <c r="N12" s="123"/>
      <c r="O12" s="123"/>
      <c r="P12" s="123"/>
      <c r="Q12" s="123"/>
      <c r="R12" s="124"/>
      <c r="S12" s="20"/>
      <c r="T12" s="20"/>
    </row>
    <row r="13" spans="2:20" x14ac:dyDescent="0.25">
      <c r="B13" s="105"/>
      <c r="C13" s="109"/>
      <c r="D13" s="109"/>
      <c r="E13" s="109"/>
      <c r="F13" s="109"/>
      <c r="G13" s="109"/>
      <c r="H13" s="109"/>
      <c r="I13" s="110"/>
      <c r="J13" s="19"/>
      <c r="K13" s="128"/>
      <c r="L13" s="123"/>
      <c r="M13" s="123"/>
      <c r="N13" s="123"/>
      <c r="O13" s="123"/>
      <c r="P13" s="123"/>
      <c r="Q13" s="123"/>
      <c r="R13" s="124"/>
      <c r="S13" s="20"/>
      <c r="T13" s="20"/>
    </row>
    <row r="14" spans="2:20" x14ac:dyDescent="0.25">
      <c r="B14" s="105"/>
      <c r="C14" s="109"/>
      <c r="D14" s="109"/>
      <c r="E14" s="109"/>
      <c r="F14" s="109"/>
      <c r="G14" s="109"/>
      <c r="H14" s="109"/>
      <c r="I14" s="110"/>
      <c r="J14" s="19"/>
      <c r="K14" s="128"/>
      <c r="L14" s="123"/>
      <c r="M14" s="123"/>
      <c r="N14" s="123"/>
      <c r="O14" s="123"/>
      <c r="P14" s="123"/>
      <c r="Q14" s="123"/>
      <c r="R14" s="124"/>
      <c r="S14" s="20"/>
      <c r="T14" s="20"/>
    </row>
    <row r="15" spans="2:20" x14ac:dyDescent="0.25">
      <c r="B15" s="105"/>
      <c r="C15" s="109"/>
      <c r="D15" s="109"/>
      <c r="E15" s="109"/>
      <c r="F15" s="109"/>
      <c r="G15" s="109"/>
      <c r="H15" s="109"/>
      <c r="I15" s="110"/>
      <c r="J15" s="19"/>
      <c r="K15" s="128"/>
      <c r="L15" s="123"/>
      <c r="M15" s="123"/>
      <c r="N15" s="123"/>
      <c r="O15" s="123"/>
      <c r="P15" s="123"/>
      <c r="Q15" s="123"/>
      <c r="R15" s="124"/>
      <c r="S15" s="20"/>
      <c r="T15" s="20"/>
    </row>
    <row r="16" spans="2:20" x14ac:dyDescent="0.25">
      <c r="B16" s="105"/>
      <c r="C16" s="109"/>
      <c r="D16" s="109"/>
      <c r="E16" s="109"/>
      <c r="F16" s="109"/>
      <c r="G16" s="109"/>
      <c r="H16" s="109"/>
      <c r="I16" s="110"/>
      <c r="J16" s="19"/>
      <c r="K16" s="128"/>
      <c r="L16" s="123"/>
      <c r="M16" s="123"/>
      <c r="N16" s="123"/>
      <c r="O16" s="123"/>
      <c r="P16" s="123"/>
      <c r="Q16" s="123"/>
      <c r="R16" s="124"/>
      <c r="S16" s="20"/>
      <c r="T16" s="20"/>
    </row>
    <row r="17" spans="2:20" x14ac:dyDescent="0.25">
      <c r="B17" s="105"/>
      <c r="C17" s="109"/>
      <c r="D17" s="109"/>
      <c r="E17" s="109"/>
      <c r="F17" s="109"/>
      <c r="G17" s="109"/>
      <c r="H17" s="109"/>
      <c r="I17" s="110"/>
      <c r="J17" s="19"/>
      <c r="K17" s="128"/>
      <c r="L17" s="123"/>
      <c r="M17" s="123"/>
      <c r="N17" s="123"/>
      <c r="O17" s="123"/>
      <c r="P17" s="123"/>
      <c r="Q17" s="123"/>
      <c r="R17" s="124"/>
      <c r="S17" s="20"/>
      <c r="T17" s="20"/>
    </row>
    <row r="18" spans="2:20" x14ac:dyDescent="0.25">
      <c r="B18" s="105"/>
      <c r="C18" s="109"/>
      <c r="D18" s="109"/>
      <c r="E18" s="109"/>
      <c r="F18" s="109"/>
      <c r="G18" s="109"/>
      <c r="H18" s="109"/>
      <c r="I18" s="110"/>
      <c r="J18" s="19"/>
      <c r="K18" s="128"/>
      <c r="L18" s="123"/>
      <c r="M18" s="123"/>
      <c r="N18" s="123"/>
      <c r="O18" s="123"/>
      <c r="P18" s="123"/>
      <c r="Q18" s="123"/>
      <c r="R18" s="124"/>
      <c r="S18" s="20"/>
      <c r="T18" s="20"/>
    </row>
    <row r="19" spans="2:20" x14ac:dyDescent="0.25">
      <c r="B19" s="105"/>
      <c r="C19" s="109"/>
      <c r="D19" s="109"/>
      <c r="E19" s="109"/>
      <c r="F19" s="109"/>
      <c r="G19" s="109"/>
      <c r="H19" s="109"/>
      <c r="I19" s="110"/>
      <c r="J19" s="19"/>
      <c r="K19" s="128"/>
      <c r="L19" s="123"/>
      <c r="M19" s="123"/>
      <c r="N19" s="123"/>
      <c r="O19" s="123"/>
      <c r="P19" s="123"/>
      <c r="Q19" s="123"/>
      <c r="R19" s="124"/>
      <c r="S19" s="20"/>
      <c r="T19" s="20"/>
    </row>
    <row r="20" spans="2:20" x14ac:dyDescent="0.25">
      <c r="B20" s="105"/>
      <c r="C20" s="109"/>
      <c r="D20" s="109"/>
      <c r="E20" s="109"/>
      <c r="F20" s="109"/>
      <c r="G20" s="109"/>
      <c r="H20" s="109"/>
      <c r="I20" s="110"/>
      <c r="J20" s="19"/>
      <c r="K20" s="128"/>
      <c r="L20" s="123"/>
      <c r="M20" s="123"/>
      <c r="N20" s="123"/>
      <c r="O20" s="123"/>
      <c r="P20" s="123"/>
      <c r="Q20" s="123"/>
      <c r="R20" s="124"/>
      <c r="S20" s="20"/>
      <c r="T20" s="20"/>
    </row>
    <row r="21" spans="2:20" x14ac:dyDescent="0.25">
      <c r="B21" s="105"/>
      <c r="C21" s="109"/>
      <c r="D21" s="109"/>
      <c r="E21" s="109"/>
      <c r="F21" s="109"/>
      <c r="G21" s="109"/>
      <c r="H21" s="109"/>
      <c r="I21" s="110"/>
      <c r="J21" s="19"/>
      <c r="K21" s="128"/>
      <c r="L21" s="123"/>
      <c r="M21" s="123"/>
      <c r="N21" s="123"/>
      <c r="O21" s="123"/>
      <c r="P21" s="123"/>
      <c r="Q21" s="123"/>
      <c r="R21" s="124"/>
      <c r="S21" s="20"/>
      <c r="T21" s="20"/>
    </row>
    <row r="22" spans="2:20" x14ac:dyDescent="0.25">
      <c r="B22" s="105"/>
      <c r="C22" s="109"/>
      <c r="D22" s="109"/>
      <c r="E22" s="109"/>
      <c r="F22" s="109"/>
      <c r="G22" s="109"/>
      <c r="H22" s="109"/>
      <c r="I22" s="110"/>
      <c r="J22" s="19"/>
      <c r="K22" s="128"/>
      <c r="L22" s="123"/>
      <c r="M22" s="123"/>
      <c r="N22" s="123"/>
      <c r="O22" s="123"/>
      <c r="P22" s="123"/>
      <c r="Q22" s="123"/>
      <c r="R22" s="124"/>
      <c r="S22" s="20"/>
      <c r="T22" s="20"/>
    </row>
    <row r="23" spans="2:20" x14ac:dyDescent="0.25">
      <c r="B23" s="105"/>
      <c r="C23" s="109"/>
      <c r="D23" s="109"/>
      <c r="E23" s="109"/>
      <c r="F23" s="109"/>
      <c r="G23" s="109"/>
      <c r="H23" s="109"/>
      <c r="I23" s="110"/>
      <c r="J23" s="19"/>
      <c r="K23" s="128"/>
      <c r="L23" s="123"/>
      <c r="M23" s="123"/>
      <c r="N23" s="123"/>
      <c r="O23" s="123"/>
      <c r="P23" s="123"/>
      <c r="Q23" s="123"/>
      <c r="R23" s="124"/>
      <c r="S23" s="20"/>
      <c r="T23" s="20"/>
    </row>
    <row r="24" spans="2:20" ht="15.75" thickBot="1" x14ac:dyDescent="0.3">
      <c r="B24" s="114"/>
      <c r="C24" s="111"/>
      <c r="D24" s="111"/>
      <c r="E24" s="111"/>
      <c r="F24" s="111"/>
      <c r="G24" s="111"/>
      <c r="H24" s="111"/>
      <c r="I24" s="112"/>
      <c r="J24" s="19"/>
      <c r="K24" s="129"/>
      <c r="L24" s="125"/>
      <c r="M24" s="125"/>
      <c r="N24" s="125"/>
      <c r="O24" s="125"/>
      <c r="P24" s="125"/>
      <c r="Q24" s="125"/>
      <c r="R24" s="126"/>
      <c r="S24" s="20"/>
      <c r="T24" s="20"/>
    </row>
    <row r="25" spans="2:20" ht="15.75" thickBot="1" x14ac:dyDescent="0.3">
      <c r="B25" s="22"/>
      <c r="C25" s="21"/>
      <c r="D25" s="21"/>
      <c r="E25" s="21"/>
      <c r="F25" s="21"/>
      <c r="G25" s="21"/>
      <c r="H25" s="21"/>
      <c r="I25" s="21"/>
      <c r="J25" s="19"/>
      <c r="K25" s="19"/>
      <c r="L25" s="19"/>
      <c r="M25" s="19"/>
      <c r="N25" s="19"/>
      <c r="O25" s="19"/>
      <c r="P25" s="18"/>
      <c r="Q25" s="18"/>
      <c r="R25" s="18"/>
      <c r="S25" s="18"/>
      <c r="T25" s="18"/>
    </row>
    <row r="26" spans="2:20" ht="15" customHeight="1" x14ac:dyDescent="0.25">
      <c r="B26" s="104" t="s">
        <v>73</v>
      </c>
      <c r="C26" s="115" t="s">
        <v>103</v>
      </c>
      <c r="D26" s="115"/>
      <c r="E26" s="115"/>
      <c r="F26" s="115"/>
      <c r="G26" s="115"/>
      <c r="H26" s="115"/>
      <c r="I26" s="116"/>
      <c r="J26" s="19"/>
      <c r="K26" s="127" t="s">
        <v>75</v>
      </c>
      <c r="L26" s="121" t="s">
        <v>49</v>
      </c>
      <c r="M26" s="121"/>
      <c r="N26" s="121"/>
      <c r="O26" s="121"/>
      <c r="P26" s="121"/>
      <c r="Q26" s="121"/>
      <c r="R26" s="122"/>
      <c r="S26" s="20"/>
      <c r="T26" s="20"/>
    </row>
    <row r="27" spans="2:20" x14ac:dyDescent="0.25">
      <c r="B27" s="105"/>
      <c r="C27" s="117"/>
      <c r="D27" s="117"/>
      <c r="E27" s="117"/>
      <c r="F27" s="117"/>
      <c r="G27" s="117"/>
      <c r="H27" s="117"/>
      <c r="I27" s="118"/>
      <c r="J27" s="19"/>
      <c r="K27" s="128"/>
      <c r="L27" s="123"/>
      <c r="M27" s="123"/>
      <c r="N27" s="123"/>
      <c r="O27" s="123"/>
      <c r="P27" s="123"/>
      <c r="Q27" s="123"/>
      <c r="R27" s="124"/>
      <c r="S27" s="20"/>
      <c r="T27" s="20"/>
    </row>
    <row r="28" spans="2:20" x14ac:dyDescent="0.25">
      <c r="B28" s="105"/>
      <c r="C28" s="117"/>
      <c r="D28" s="117"/>
      <c r="E28" s="117"/>
      <c r="F28" s="117"/>
      <c r="G28" s="117"/>
      <c r="H28" s="117"/>
      <c r="I28" s="118"/>
      <c r="J28" s="19"/>
      <c r="K28" s="128"/>
      <c r="L28" s="123"/>
      <c r="M28" s="123"/>
      <c r="N28" s="123"/>
      <c r="O28" s="123"/>
      <c r="P28" s="123"/>
      <c r="Q28" s="123"/>
      <c r="R28" s="124"/>
      <c r="S28" s="20"/>
      <c r="T28" s="20"/>
    </row>
    <row r="29" spans="2:20" x14ac:dyDescent="0.25">
      <c r="B29" s="105"/>
      <c r="C29" s="117"/>
      <c r="D29" s="117"/>
      <c r="E29" s="117"/>
      <c r="F29" s="117"/>
      <c r="G29" s="117"/>
      <c r="H29" s="117"/>
      <c r="I29" s="118"/>
      <c r="J29" s="19"/>
      <c r="K29" s="128"/>
      <c r="L29" s="123"/>
      <c r="M29" s="123"/>
      <c r="N29" s="123"/>
      <c r="O29" s="123"/>
      <c r="P29" s="123"/>
      <c r="Q29" s="123"/>
      <c r="R29" s="124"/>
      <c r="S29" s="20"/>
      <c r="T29" s="20"/>
    </row>
    <row r="30" spans="2:20" x14ac:dyDescent="0.25">
      <c r="B30" s="105"/>
      <c r="C30" s="117"/>
      <c r="D30" s="117"/>
      <c r="E30" s="117"/>
      <c r="F30" s="117"/>
      <c r="G30" s="117"/>
      <c r="H30" s="117"/>
      <c r="I30" s="118"/>
      <c r="J30" s="19"/>
      <c r="K30" s="128"/>
      <c r="L30" s="123"/>
      <c r="M30" s="123"/>
      <c r="N30" s="123"/>
      <c r="O30" s="123"/>
      <c r="P30" s="123"/>
      <c r="Q30" s="123"/>
      <c r="R30" s="124"/>
      <c r="S30" s="20"/>
      <c r="T30" s="20"/>
    </row>
    <row r="31" spans="2:20" x14ac:dyDescent="0.25">
      <c r="B31" s="105"/>
      <c r="C31" s="117"/>
      <c r="D31" s="117"/>
      <c r="E31" s="117"/>
      <c r="F31" s="117"/>
      <c r="G31" s="117"/>
      <c r="H31" s="117"/>
      <c r="I31" s="118"/>
      <c r="J31" s="19"/>
      <c r="K31" s="128"/>
      <c r="L31" s="123"/>
      <c r="M31" s="123"/>
      <c r="N31" s="123"/>
      <c r="O31" s="123"/>
      <c r="P31" s="123"/>
      <c r="Q31" s="123"/>
      <c r="R31" s="124"/>
      <c r="S31" s="20"/>
      <c r="T31" s="20"/>
    </row>
    <row r="32" spans="2:20" x14ac:dyDescent="0.25">
      <c r="B32" s="105"/>
      <c r="C32" s="117"/>
      <c r="D32" s="117"/>
      <c r="E32" s="117"/>
      <c r="F32" s="117"/>
      <c r="G32" s="117"/>
      <c r="H32" s="117"/>
      <c r="I32" s="118"/>
      <c r="J32" s="19"/>
      <c r="K32" s="128"/>
      <c r="L32" s="123"/>
      <c r="M32" s="123"/>
      <c r="N32" s="123"/>
      <c r="O32" s="123"/>
      <c r="P32" s="123"/>
      <c r="Q32" s="123"/>
      <c r="R32" s="124"/>
      <c r="S32" s="20"/>
      <c r="T32" s="20"/>
    </row>
    <row r="33" spans="2:20" x14ac:dyDescent="0.25">
      <c r="B33" s="105"/>
      <c r="C33" s="117"/>
      <c r="D33" s="117"/>
      <c r="E33" s="117"/>
      <c r="F33" s="117"/>
      <c r="G33" s="117"/>
      <c r="H33" s="117"/>
      <c r="I33" s="118"/>
      <c r="J33" s="19"/>
      <c r="K33" s="128"/>
      <c r="L33" s="123"/>
      <c r="M33" s="123"/>
      <c r="N33" s="123"/>
      <c r="O33" s="123"/>
      <c r="P33" s="123"/>
      <c r="Q33" s="123"/>
      <c r="R33" s="124"/>
      <c r="S33" s="20"/>
      <c r="T33" s="20"/>
    </row>
    <row r="34" spans="2:20" x14ac:dyDescent="0.25">
      <c r="B34" s="105"/>
      <c r="C34" s="117"/>
      <c r="D34" s="117"/>
      <c r="E34" s="117"/>
      <c r="F34" s="117"/>
      <c r="G34" s="117"/>
      <c r="H34" s="117"/>
      <c r="I34" s="118"/>
      <c r="J34" s="19"/>
      <c r="K34" s="128"/>
      <c r="L34" s="123"/>
      <c r="M34" s="123"/>
      <c r="N34" s="123"/>
      <c r="O34" s="123"/>
      <c r="P34" s="123"/>
      <c r="Q34" s="123"/>
      <c r="R34" s="124"/>
      <c r="S34" s="20"/>
      <c r="T34" s="20"/>
    </row>
    <row r="35" spans="2:20" x14ac:dyDescent="0.25">
      <c r="B35" s="105"/>
      <c r="C35" s="117"/>
      <c r="D35" s="117"/>
      <c r="E35" s="117"/>
      <c r="F35" s="117"/>
      <c r="G35" s="117"/>
      <c r="H35" s="117"/>
      <c r="I35" s="118"/>
      <c r="J35" s="19"/>
      <c r="K35" s="128"/>
      <c r="L35" s="123"/>
      <c r="M35" s="123"/>
      <c r="N35" s="123"/>
      <c r="O35" s="123"/>
      <c r="P35" s="123"/>
      <c r="Q35" s="123"/>
      <c r="R35" s="124"/>
      <c r="S35" s="20"/>
      <c r="T35" s="20"/>
    </row>
    <row r="36" spans="2:20" x14ac:dyDescent="0.25">
      <c r="B36" s="105"/>
      <c r="C36" s="117"/>
      <c r="D36" s="117"/>
      <c r="E36" s="117"/>
      <c r="F36" s="117"/>
      <c r="G36" s="117"/>
      <c r="H36" s="117"/>
      <c r="I36" s="118"/>
      <c r="J36" s="19"/>
      <c r="K36" s="128"/>
      <c r="L36" s="123"/>
      <c r="M36" s="123"/>
      <c r="N36" s="123"/>
      <c r="O36" s="123"/>
      <c r="P36" s="123"/>
      <c r="Q36" s="123"/>
      <c r="R36" s="124"/>
      <c r="S36" s="20"/>
      <c r="T36" s="20"/>
    </row>
    <row r="37" spans="2:20" x14ac:dyDescent="0.25">
      <c r="B37" s="105"/>
      <c r="C37" s="117"/>
      <c r="D37" s="117"/>
      <c r="E37" s="117"/>
      <c r="F37" s="117"/>
      <c r="G37" s="117"/>
      <c r="H37" s="117"/>
      <c r="I37" s="118"/>
      <c r="J37" s="19"/>
      <c r="K37" s="128"/>
      <c r="L37" s="123"/>
      <c r="M37" s="123"/>
      <c r="N37" s="123"/>
      <c r="O37" s="123"/>
      <c r="P37" s="123"/>
      <c r="Q37" s="123"/>
      <c r="R37" s="124"/>
      <c r="S37" s="20"/>
      <c r="T37" s="20"/>
    </row>
    <row r="38" spans="2:20" x14ac:dyDescent="0.25">
      <c r="B38" s="105"/>
      <c r="C38" s="117"/>
      <c r="D38" s="117"/>
      <c r="E38" s="117"/>
      <c r="F38" s="117"/>
      <c r="G38" s="117"/>
      <c r="H38" s="117"/>
      <c r="I38" s="118"/>
      <c r="J38" s="19"/>
      <c r="K38" s="128"/>
      <c r="L38" s="123"/>
      <c r="M38" s="123"/>
      <c r="N38" s="123"/>
      <c r="O38" s="123"/>
      <c r="P38" s="123"/>
      <c r="Q38" s="123"/>
      <c r="R38" s="124"/>
      <c r="S38" s="20"/>
      <c r="T38" s="20"/>
    </row>
    <row r="39" spans="2:20" x14ac:dyDescent="0.25">
      <c r="B39" s="105"/>
      <c r="C39" s="117"/>
      <c r="D39" s="117"/>
      <c r="E39" s="117"/>
      <c r="F39" s="117"/>
      <c r="G39" s="117"/>
      <c r="H39" s="117"/>
      <c r="I39" s="118"/>
      <c r="J39" s="19"/>
      <c r="K39" s="128"/>
      <c r="L39" s="123"/>
      <c r="M39" s="123"/>
      <c r="N39" s="123"/>
      <c r="O39" s="123"/>
      <c r="P39" s="123"/>
      <c r="Q39" s="123"/>
      <c r="R39" s="124"/>
      <c r="S39" s="20"/>
      <c r="T39" s="20"/>
    </row>
    <row r="40" spans="2:20" x14ac:dyDescent="0.25">
      <c r="B40" s="105"/>
      <c r="C40" s="117"/>
      <c r="D40" s="117"/>
      <c r="E40" s="117"/>
      <c r="F40" s="117"/>
      <c r="G40" s="117"/>
      <c r="H40" s="117"/>
      <c r="I40" s="118"/>
      <c r="J40" s="19"/>
      <c r="K40" s="128"/>
      <c r="L40" s="123"/>
      <c r="M40" s="123"/>
      <c r="N40" s="123"/>
      <c r="O40" s="123"/>
      <c r="P40" s="123"/>
      <c r="Q40" s="123"/>
      <c r="R40" s="124"/>
      <c r="S40" s="20"/>
      <c r="T40" s="20"/>
    </row>
    <row r="41" spans="2:20" x14ac:dyDescent="0.25">
      <c r="B41" s="105"/>
      <c r="C41" s="117"/>
      <c r="D41" s="117"/>
      <c r="E41" s="117"/>
      <c r="F41" s="117"/>
      <c r="G41" s="117"/>
      <c r="H41" s="117"/>
      <c r="I41" s="118"/>
      <c r="J41" s="19"/>
      <c r="K41" s="128"/>
      <c r="L41" s="123"/>
      <c r="M41" s="123"/>
      <c r="N41" s="123"/>
      <c r="O41" s="123"/>
      <c r="P41" s="123"/>
      <c r="Q41" s="123"/>
      <c r="R41" s="124"/>
      <c r="S41" s="20"/>
      <c r="T41" s="20"/>
    </row>
    <row r="42" spans="2:20" x14ac:dyDescent="0.25">
      <c r="B42" s="105"/>
      <c r="C42" s="117"/>
      <c r="D42" s="117"/>
      <c r="E42" s="117"/>
      <c r="F42" s="117"/>
      <c r="G42" s="117"/>
      <c r="H42" s="117"/>
      <c r="I42" s="118"/>
      <c r="J42" s="19"/>
      <c r="K42" s="128"/>
      <c r="L42" s="123"/>
      <c r="M42" s="123"/>
      <c r="N42" s="123"/>
      <c r="O42" s="123"/>
      <c r="P42" s="123"/>
      <c r="Q42" s="123"/>
      <c r="R42" s="124"/>
      <c r="S42" s="20"/>
      <c r="T42" s="20"/>
    </row>
    <row r="43" spans="2:20" x14ac:dyDescent="0.25">
      <c r="B43" s="105"/>
      <c r="C43" s="117"/>
      <c r="D43" s="117"/>
      <c r="E43" s="117"/>
      <c r="F43" s="117"/>
      <c r="G43" s="117"/>
      <c r="H43" s="117"/>
      <c r="I43" s="118"/>
      <c r="J43" s="19"/>
      <c r="K43" s="128"/>
      <c r="L43" s="123"/>
      <c r="M43" s="123"/>
      <c r="N43" s="123"/>
      <c r="O43" s="123"/>
      <c r="P43" s="123"/>
      <c r="Q43" s="123"/>
      <c r="R43" s="124"/>
      <c r="S43" s="20"/>
      <c r="T43" s="20"/>
    </row>
    <row r="44" spans="2:20" x14ac:dyDescent="0.25">
      <c r="B44" s="105"/>
      <c r="C44" s="117"/>
      <c r="D44" s="117"/>
      <c r="E44" s="117"/>
      <c r="F44" s="117"/>
      <c r="G44" s="117"/>
      <c r="H44" s="117"/>
      <c r="I44" s="118"/>
      <c r="J44" s="19"/>
      <c r="K44" s="128"/>
      <c r="L44" s="123"/>
      <c r="M44" s="123"/>
      <c r="N44" s="123"/>
      <c r="O44" s="123"/>
      <c r="P44" s="123"/>
      <c r="Q44" s="123"/>
      <c r="R44" s="124"/>
      <c r="S44" s="20"/>
      <c r="T44" s="20"/>
    </row>
    <row r="45" spans="2:20" x14ac:dyDescent="0.25">
      <c r="B45" s="105"/>
      <c r="C45" s="117"/>
      <c r="D45" s="117"/>
      <c r="E45" s="117"/>
      <c r="F45" s="117"/>
      <c r="G45" s="117"/>
      <c r="H45" s="117"/>
      <c r="I45" s="118"/>
      <c r="J45" s="19"/>
      <c r="K45" s="128"/>
      <c r="L45" s="123"/>
      <c r="M45" s="123"/>
      <c r="N45" s="123"/>
      <c r="O45" s="123"/>
      <c r="P45" s="123"/>
      <c r="Q45" s="123"/>
      <c r="R45" s="124"/>
      <c r="S45" s="20"/>
      <c r="T45" s="20"/>
    </row>
    <row r="46" spans="2:20" ht="15.75" thickBot="1" x14ac:dyDescent="0.3">
      <c r="B46" s="106"/>
      <c r="C46" s="119"/>
      <c r="D46" s="119"/>
      <c r="E46" s="119"/>
      <c r="F46" s="119"/>
      <c r="G46" s="119"/>
      <c r="H46" s="119"/>
      <c r="I46" s="120"/>
      <c r="J46" s="19"/>
      <c r="K46" s="129"/>
      <c r="L46" s="125"/>
      <c r="M46" s="125"/>
      <c r="N46" s="125"/>
      <c r="O46" s="125"/>
      <c r="P46" s="125"/>
      <c r="Q46" s="125"/>
      <c r="R46" s="126"/>
      <c r="S46" s="20"/>
      <c r="T46" s="20"/>
    </row>
  </sheetData>
  <mergeCells count="10">
    <mergeCell ref="B2:I2"/>
    <mergeCell ref="K2:R2"/>
    <mergeCell ref="B26:B46"/>
    <mergeCell ref="C4:I24"/>
    <mergeCell ref="B4:B24"/>
    <mergeCell ref="C26:I46"/>
    <mergeCell ref="L4:R24"/>
    <mergeCell ref="L26:R46"/>
    <mergeCell ref="K4:K24"/>
    <mergeCell ref="K26:K4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93084A-3C58-4F4F-80FD-C346750864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HYP</vt:lpstr>
      <vt:lpstr>Hesap</vt:lpstr>
      <vt:lpstr>Data - Sina</vt:lpstr>
      <vt:lpstr>Data - Hyp</vt:lpstr>
      <vt:lpstr>Betikler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İzzet Sağlam</dc:creator>
  <cp:lastModifiedBy>Muhammed İzzet Sağlam</cp:lastModifiedBy>
  <dcterms:created xsi:type="dcterms:W3CDTF">2026-02-16T13:09:56Z</dcterms:created>
  <dcterms:modified xsi:type="dcterms:W3CDTF">2026-03-18T17:02:47Z</dcterms:modified>
</cp:coreProperties>
</file>