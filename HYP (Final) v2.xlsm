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drpars\Desktop\"/>
    </mc:Choice>
  </mc:AlternateContent>
  <xr:revisionPtr revIDLastSave="0" documentId="13_ncr:1_{E55C085F-BC53-4A89-A981-9F215A50897F}" xr6:coauthVersionLast="47" xr6:coauthVersionMax="47" xr10:uidLastSave="{00000000-0000-0000-0000-000000000000}"/>
  <bookViews>
    <workbookView xWindow="5250" yWindow="2010" windowWidth="28800" windowHeight="16470" xr2:uid="{352CC28A-44C7-40E8-AEA8-09C5434E93D4}"/>
  </bookViews>
  <sheets>
    <sheet name="HYP" sheetId="1" r:id="rId1"/>
    <sheet name="Data - Sina" sheetId="5" state="hidden" r:id="rId2"/>
    <sheet name="Data - Hyp" sheetId="6" state="hidden" r:id="rId3"/>
    <sheet name="Betikler" sheetId="9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J22" i="1"/>
  <c r="Q20" i="1"/>
  <c r="E20" i="1" s="1"/>
  <c r="Q19" i="1"/>
  <c r="E19" i="1" s="1"/>
  <c r="Q18" i="1"/>
  <c r="E18" i="1" s="1"/>
  <c r="Q17" i="1"/>
  <c r="E17" i="1" s="1"/>
  <c r="Q16" i="1"/>
  <c r="E16" i="1" s="1"/>
  <c r="Q12" i="1"/>
  <c r="E12" i="1" s="1"/>
  <c r="Q11" i="1"/>
  <c r="E11" i="1" s="1"/>
  <c r="Q10" i="1"/>
  <c r="E10" i="1" s="1"/>
  <c r="Q9" i="1"/>
  <c r="E9" i="1" s="1"/>
  <c r="D9" i="1"/>
  <c r="F20" i="1"/>
  <c r="D20" i="1"/>
  <c r="F19" i="1"/>
  <c r="D19" i="1"/>
  <c r="F18" i="1"/>
  <c r="D18" i="1"/>
  <c r="F17" i="1"/>
  <c r="D17" i="1"/>
  <c r="F16" i="1"/>
  <c r="D16" i="1"/>
  <c r="F15" i="1"/>
  <c r="E15" i="1"/>
  <c r="D15" i="1"/>
  <c r="F14" i="1"/>
  <c r="E14" i="1"/>
  <c r="D14" i="1"/>
  <c r="F13" i="1"/>
  <c r="E13" i="1"/>
  <c r="D13" i="1"/>
  <c r="F12" i="1"/>
  <c r="D12" i="1"/>
  <c r="F11" i="1"/>
  <c r="D11" i="1"/>
  <c r="F10" i="1"/>
  <c r="D10" i="1"/>
  <c r="F9" i="1"/>
  <c r="D25" i="1"/>
  <c r="L18" i="1" l="1"/>
  <c r="V18" i="1" s="1"/>
  <c r="L15" i="1"/>
  <c r="V15" i="1" s="1"/>
  <c r="L12" i="1"/>
  <c r="V12" i="1" s="1"/>
  <c r="L11" i="1"/>
  <c r="H19" i="1"/>
  <c r="L13" i="1"/>
  <c r="V13" i="1" s="1"/>
  <c r="L14" i="1"/>
  <c r="V14" i="1" s="1"/>
  <c r="L20" i="1"/>
  <c r="V20" i="1" s="1"/>
  <c r="L17" i="1"/>
  <c r="V17" i="1" s="1"/>
  <c r="L16" i="1"/>
  <c r="V16" i="1" s="1"/>
  <c r="H14" i="1"/>
  <c r="L10" i="1"/>
  <c r="L9" i="1"/>
  <c r="V9" i="1" s="1"/>
  <c r="I19" i="1"/>
  <c r="G19" i="1" s="1"/>
  <c r="L19" i="1"/>
  <c r="V19" i="1" s="1"/>
  <c r="H13" i="1"/>
  <c r="I10" i="1"/>
  <c r="I13" i="1"/>
  <c r="H10" i="1"/>
  <c r="I18" i="1"/>
  <c r="H15" i="1"/>
  <c r="H20" i="1"/>
  <c r="H18" i="1"/>
  <c r="I20" i="1"/>
  <c r="H11" i="1"/>
  <c r="H16" i="1"/>
  <c r="I11" i="1"/>
  <c r="H17" i="1"/>
  <c r="I17" i="1"/>
  <c r="I15" i="1"/>
  <c r="I14" i="1"/>
  <c r="H12" i="1"/>
  <c r="I12" i="1"/>
  <c r="G12" i="1" s="1"/>
  <c r="I9" i="1"/>
  <c r="I16" i="1"/>
  <c r="H9" i="1"/>
  <c r="M18" i="1" l="1"/>
  <c r="M12" i="1"/>
  <c r="M15" i="1"/>
  <c r="M17" i="1"/>
  <c r="M16" i="1"/>
  <c r="M20" i="1"/>
  <c r="G11" i="1"/>
  <c r="U11" i="1"/>
  <c r="J11" i="1" s="1"/>
  <c r="U17" i="1"/>
  <c r="J17" i="1" s="1"/>
  <c r="G17" i="1"/>
  <c r="G20" i="1"/>
  <c r="U20" i="1"/>
  <c r="J20" i="1" s="1"/>
  <c r="G10" i="1"/>
  <c r="U10" i="1"/>
  <c r="J10" i="1" s="1"/>
  <c r="V10" i="1"/>
  <c r="M10" i="1" s="1"/>
  <c r="G18" i="1"/>
  <c r="U18" i="1"/>
  <c r="J18" i="1" s="1"/>
  <c r="G16" i="1"/>
  <c r="U16" i="1"/>
  <c r="J16" i="1" s="1"/>
  <c r="U13" i="1"/>
  <c r="J13" i="1" s="1"/>
  <c r="G13" i="1"/>
  <c r="U14" i="1"/>
  <c r="G14" i="1"/>
  <c r="G15" i="1"/>
  <c r="U15" i="1"/>
  <c r="J15" i="1" s="1"/>
  <c r="G9" i="1"/>
  <c r="U9" i="1"/>
  <c r="J9" i="1" s="1"/>
  <c r="U19" i="1"/>
  <c r="J19" i="1" s="1"/>
  <c r="M9" i="1"/>
  <c r="M14" i="1"/>
  <c r="M13" i="1"/>
  <c r="J14" i="1"/>
  <c r="M19" i="1"/>
  <c r="U12" i="1"/>
  <c r="J12" i="1" s="1"/>
  <c r="D27" i="1" l="1"/>
  <c r="V11" i="1"/>
  <c r="M11" i="1" s="1"/>
  <c r="D28" i="1" s="1"/>
</calcChain>
</file>

<file path=xl/sharedStrings.xml><?xml version="1.0" encoding="utf-8"?>
<sst xmlns="http://schemas.openxmlformats.org/spreadsheetml/2006/main" count="142" uniqueCount="102">
  <si>
    <t>Diyabet Taraması</t>
  </si>
  <si>
    <t>Gereken</t>
  </si>
  <si>
    <t>Yapılan</t>
  </si>
  <si>
    <t>Hipertansiyon İzlem</t>
  </si>
  <si>
    <t>Durum</t>
  </si>
  <si>
    <t>Nüfus</t>
  </si>
  <si>
    <t>azami</t>
  </si>
  <si>
    <t>asgari</t>
  </si>
  <si>
    <t>Süreç Yönetimi</t>
  </si>
  <si>
    <t>Hastalık/İşlem</t>
  </si>
  <si>
    <t>Çankırı Merkez 20 Nolu AHB - Çankırı</t>
  </si>
  <si>
    <t>DİYABET TARAMASI</t>
  </si>
  <si>
    <t>Evet</t>
  </si>
  <si>
    <t>DİYABET İZLEMİ</t>
  </si>
  <si>
    <t>HİPERTANSİYON TARAMASI</t>
  </si>
  <si>
    <t>HİPERTANSİYON İZLEM</t>
  </si>
  <si>
    <t>KANSER KOLOREKTAL TARAMASI</t>
  </si>
  <si>
    <t>KANSER MAMOGRAFİ TARAMASI</t>
  </si>
  <si>
    <t>KANSER SERVİKS TARAMASI</t>
  </si>
  <si>
    <t>KORONERARTER İZLEMİ</t>
  </si>
  <si>
    <t>KRONİK BOBREK İZLEMİ</t>
  </si>
  <si>
    <t>KVR TARAMASI</t>
  </si>
  <si>
    <t>KVR İZLEMİ</t>
  </si>
  <si>
    <t>OBEZİTE TARAMASI</t>
  </si>
  <si>
    <t>OBEZİTE İZLEMİ</t>
  </si>
  <si>
    <t>YAŞLI SAĞLIĞI İZLEMİ</t>
  </si>
  <si>
    <t>İNME İZLEMİ</t>
  </si>
  <si>
    <t>Hipertansiyon Taraması</t>
  </si>
  <si>
    <t>Kanser Kolorektal Taraması</t>
  </si>
  <si>
    <t>Kanser Mamografi Taraması</t>
  </si>
  <si>
    <t>Kanser Serviks Taraması</t>
  </si>
  <si>
    <t>KVR Taraması</t>
  </si>
  <si>
    <t>Obezite Taraması</t>
  </si>
  <si>
    <t>Yaşlı Sağlığı İzlemi</t>
  </si>
  <si>
    <t>Obezite İzlemi</t>
  </si>
  <si>
    <t>Diyabet İzlemi</t>
  </si>
  <si>
    <t>Önceki Aydan
Devreden</t>
  </si>
  <si>
    <t>Gerçekleşme
Oranı</t>
  </si>
  <si>
    <t>Devirli
Gerçekleşme
Oranı</t>
  </si>
  <si>
    <t>Yeni
Yüzde</t>
  </si>
  <si>
    <t>Yeni Katsayı</t>
  </si>
  <si>
    <t>yeni katsayı</t>
  </si>
  <si>
    <t>katsayı</t>
  </si>
  <si>
    <t>Mevcut Katsayı</t>
  </si>
  <si>
    <t>asgari altı</t>
  </si>
  <si>
    <t>x</t>
  </si>
  <si>
    <t>y</t>
  </si>
  <si>
    <t>KVR İzlemi</t>
  </si>
  <si>
    <t>% 50,0</t>
  </si>
  <si>
    <t>% 75,0</t>
  </si>
  <si>
    <t>% 108,3</t>
  </si>
  <si>
    <t>% 26,7</t>
  </si>
  <si>
    <t>% 142,9</t>
  </si>
  <si>
    <t>% 400,0</t>
  </si>
  <si>
    <t>% 67,9</t>
  </si>
  <si>
    <t>% 157,1</t>
  </si>
  <si>
    <t>% 68,7</t>
  </si>
  <si>
    <t>% 82,1</t>
  </si>
  <si>
    <t>% 54,8</t>
  </si>
  <si>
    <t>% 71,4</t>
  </si>
  <si>
    <t>% 11,1</t>
  </si>
  <si>
    <t>% 66,7</t>
  </si>
  <si>
    <t>% 81,2</t>
  </si>
  <si>
    <t>% 175,0</t>
  </si>
  <si>
    <t>% 758,3</t>
  </si>
  <si>
    <t>% 55,7</t>
  </si>
  <si>
    <t>% 77,1</t>
  </si>
  <si>
    <t>% 34,5</t>
  </si>
  <si>
    <t>javascript:(function(){    /* Sayfadaki tüm kartları bul */    const cardElements = document.querySelectorAll('.population-target-analysis .content-sub');    let data = [];        cardElements.forEach(card =&gt; {        const title = card.querySelector('.title')?.textContent.trim() || "";        const value = card.querySelector('.performance-statistics-value')?.textContent.trim() || "0";        data.push(`${title}: ${value}`);    });        /* Sonuçları göster ve kopyala */    alert("Bulunan Veriler:\n" + data.join("\n"));    const el = document.createElement('textarea');    el.value = data.join("\n");    document.body.appendChild(el);    el.select();    document.execCommand('copy');    document.body.removeChild(el);})();</t>
  </si>
  <si>
    <t>HİPERTANSİYON TARAMA</t>
  </si>
  <si>
    <t>KARDİYOVASKÜLER RİSK TARAMA</t>
  </si>
  <si>
    <t>KARDİYOVASKÜLER RİSK İZLEM</t>
  </si>
  <si>
    <t>DİYABET TARAMA</t>
  </si>
  <si>
    <t>DİYABET İZLEM</t>
  </si>
  <si>
    <t>OBEZİTE TARAMA</t>
  </si>
  <si>
    <t>OBEZİTE İZLEM (AİLE HEKİMİ)</t>
  </si>
  <si>
    <t>KORONER ARTER HASTALIĞI İZLEM</t>
  </si>
  <si>
    <t>YAŞLI DEĞERLENDİRME İZLEM</t>
  </si>
  <si>
    <t>İNME İZLEM</t>
  </si>
  <si>
    <t>KRONİK BÖBREK HASTALIĞI İZLEM</t>
  </si>
  <si>
    <t>KRONİK OBSTRÜKTİF AKCİĞER HASTALIĞI İZLEM</t>
  </si>
  <si>
    <t>ASTIM İZLEM</t>
  </si>
  <si>
    <t>OSB TARAMA</t>
  </si>
  <si>
    <t>javascript:(function(){    let headers = ["Hastalık/İşlem", "Yapılan"];    /* Sadece veri içeren satırları seçmeye çalışıyoruz */    let rows = document.querySelectorAll('tr[role="row"], tbody tr');    let data = [headers.join("\t")];    let foundAnyData = false;    rows.forEach(row =&gt; {        let cells = row.querySelectorAll('td, [role="gridcell"]');        /* Satırda hücre var mı ve boş değil mi kontrolü */        if (cells.length &gt; 0) {            let rowText = Array.from(cells).map(c =&gt; c.textContent.trim()).join("\t");            /* Eğer satır içeriği tamamen boş değilse ekle */            if (rowText.replace(/\t/g, "").length &gt; 0) {                data.push(rowText);                foundAnyData = true;            }        }    });    /* Veri bulunamadıysa kullanıcıyı uyar ve çık */    if (!foundAnyData) {        alert("❌ Kopyalanacak tablo verisi bulunamadı!\nLütfen tablonun görünür olduğundan emin olun.");        return;    }    /* Veri varsa kopyalama işlemine geç */    const el = document.createElement('textarea');    el.value = data.join("\n");    document.body.appendChild(el);    el.select();    document.execCommand('copy');    document.body.removeChild(el);        alert("✅ " + (data.length - 1) + " satır veri kopyalandı!\nExcel'e gidip CTRL+V yapabilirsiniz.");})();</t>
  </si>
  <si>
    <t>HYP Verilerini Dahil Et</t>
  </si>
  <si>
    <t>hyp veri</t>
  </si>
  <si>
    <t>Tavan Katsayı</t>
  </si>
  <si>
    <t>Ekstra Katsayı</t>
  </si>
  <si>
    <t>Yapılacak
(Ekstra)</t>
  </si>
  <si>
    <t>Ay</t>
  </si>
  <si>
    <t>Yıl</t>
  </si>
  <si>
    <t>Birim ID</t>
  </si>
  <si>
    <t>MART</t>
  </si>
  <si>
    <t>sina</t>
  </si>
  <si>
    <t>Tampermonkey ile yapılacak kodlar</t>
  </si>
  <si>
    <t>hyp</t>
  </si>
  <si>
    <t>// ==UserScript==
// @name         SİNA Otomatik Tablo Çekici (Kilitli)
// @match        https://sina.saglik.gov.tr/*
// @grant        none
// ==/UserScript==
(function() {
    'use strict';
    // EMNİYET KİLİDİ: Sadece URL sonunda #kopyala varsa çalışır
    if (window.location.hash === "#kopyala") {
        console.log("SİNA Otomasyonu Aktif: Kopyalamak için bir kez tıklayın.");
        const copySinaTable = async () =&gt; {
            let headers = ["Hastalık/İşlem", "Yapılan"];
            let rows = document.querySelectorAll('tr[role="row"], tbody tr');
            let data = [headers.join("\t")];
            let foundAnyData = false;
            rows.forEach(row =&gt; {
                let cells = row.querySelectorAll('td, [role="gridcell"]');
                if (cells.length &gt; 0) {
                    let rowText = Array.from(cells).map(c =&gt; c.textContent.trim()).join("\t");
                    if (rowText.replace(/\t/g, "").length &gt; 0) {
                        data.push(rowText);
                        foundAnyData = true;
                    }
                }
            });
            if (foundAnyData) {
                const finalResult = data.join("\n");
                try {
                    await navigator.clipboard.writeText(finalResult);
                    alert("✅ SİNA VERİLERİ KOPYALANDI!\n" + (data.length - 1) + " satır tablo verisi alındı.");
                    // İşlem bittikten sonra dinleyiciyi kaldır
                    document.removeEventListener('click', copySinaTable);
                } catch (err) {
                    alert("Kopyalama başarısız, lütfen sayfaya tekrar tıklayın.");
                }
            }
        };
        // Sayfada herhangi bir yere ilk tıklamayı bekler
        document.addEventListener('click', copySinaTable);
    }
})();</t>
  </si>
  <si>
    <t>// ==UserScript==
// @name         HYP Otomatik Sekme ve Veri Çekici
// @match        https://hyp.saglik.gov.tr/dashboard*
// @grant        none
// ==/UserScript==
(function() {
    'use strict';
    if (window.location.hash === "#kopyala") {
        const checkTabExist = setInterval(function() {
            const targetTab = document.querySelector('a[id="5"]');
            if (targetTab) {
                targetTab.click();
                clearInterval(checkTabExist);
                // Sayfada ilk tıklamayı bekleyen mekanizmayı kur
                setupAutoCopyOnclick();
            }
        }, 500);
    }
    function setupAutoCopyOnclick() {
        // Kullanıcı sayfada herhangi bir yere tıkladığı an çalışacak
        const copyHandler = async () =&gt; {
            const cardElements = document.querySelectorAll('.population-target-analysis .content-sub');
            let dataLines = [];
            cardElements.forEach(card =&gt; {
                const title = card.querySelector('.title')?.textContent.trim() || "Başlıksız";
                const value = card.querySelector('.performance-statistics-value')?.textContent.trim() || "0";
                dataLines.push(`${title}\t${value}`);
            });
            if (dataLines.length &gt; 0) {
                const finalResult = dataLines.join("\n");
                try {
                    await navigator.clipboard.writeText(finalResult);
                    alert("✅ BAŞARILI!\n" + dataLines.length + " satır veri kopyalandı.");
                    // Bir kez çalıştıktan sonra dinleyiciyi kaldır
                    document.removeEventListener('click', copyHandler);
                } catch (err) {
                    console.log("Kopyalama hala engelleniyor.");
                }
            }
        };
        // Sayfa geneline tıklama dinleyicisi ekle
        document.addEventListener('click', copyHandler);
        // Kullanıcıyı bilgilendirmek için küçük bir not (Opsiyonel)
        console.log("Veriler hazır. Kopyalamak için sayfanın herhangi bir yerine bir kez tıklayın.");
    }
})();</t>
  </si>
  <si>
    <t>yerimi - sina</t>
  </si>
  <si>
    <t>yerimi - hyp</t>
  </si>
  <si>
    <t>Yerimi Yöntemi</t>
  </si>
  <si>
    <t>Başarılı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</si>
</sst>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#,##0.00000"/>
  </numFmts>
  <fonts count="11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7"/>
      <color theme="0"/>
      <name val="Algerian"/>
      <family val="5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charset val="162"/>
      <scheme val="minor"/>
    </font>
    <font>
      <b/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theme="7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9" fontId="0" fillId="2" borderId="7" xfId="1" applyFont="1" applyFill="1" applyBorder="1" applyAlignment="1">
      <alignment horizontal="center" vertical="center"/>
    </xf>
    <xf numFmtId="166" fontId="0" fillId="2" borderId="21" xfId="1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9" fontId="0" fillId="2" borderId="10" xfId="1" applyFont="1" applyFill="1" applyBorder="1" applyAlignment="1">
      <alignment horizontal="center" vertical="center"/>
    </xf>
    <xf numFmtId="166" fontId="0" fillId="2" borderId="22" xfId="1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9" fontId="0" fillId="2" borderId="12" xfId="1" applyFont="1" applyFill="1" applyBorder="1" applyAlignment="1">
      <alignment horizontal="center" vertical="center"/>
    </xf>
    <xf numFmtId="166" fontId="0" fillId="2" borderId="23" xfId="1" applyNumberFormat="1" applyFont="1" applyFill="1" applyBorder="1" applyAlignment="1">
      <alignment horizontal="center" vertical="center"/>
    </xf>
    <xf numFmtId="0" fontId="2" fillId="2" borderId="0" xfId="0" applyFont="1" applyFill="1"/>
    <xf numFmtId="164" fontId="0" fillId="2" borderId="0" xfId="0" applyNumberFormat="1" applyFill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1" fontId="0" fillId="2" borderId="7" xfId="1" applyNumberFormat="1" applyFont="1" applyFill="1" applyBorder="1" applyAlignment="1" applyProtection="1">
      <alignment horizontal="center" vertical="center"/>
      <protection locked="0"/>
    </xf>
    <xf numFmtId="1" fontId="0" fillId="2" borderId="10" xfId="1" applyNumberFormat="1" applyFont="1" applyFill="1" applyBorder="1" applyAlignment="1" applyProtection="1">
      <alignment horizontal="center" vertical="center"/>
      <protection locked="0"/>
    </xf>
    <xf numFmtId="1" fontId="0" fillId="2" borderId="12" xfId="1" applyNumberFormat="1" applyFont="1" applyFill="1" applyBorder="1" applyAlignment="1" applyProtection="1">
      <alignment horizontal="center" vertical="center"/>
      <protection locked="0"/>
    </xf>
    <xf numFmtId="165" fontId="0" fillId="2" borderId="21" xfId="0" applyNumberFormat="1" applyFill="1" applyBorder="1" applyAlignment="1">
      <alignment horizontal="center" vertical="center"/>
    </xf>
    <xf numFmtId="165" fontId="0" fillId="2" borderId="22" xfId="0" applyNumberFormat="1" applyFill="1" applyBorder="1" applyAlignment="1">
      <alignment horizontal="center" vertical="center"/>
    </xf>
    <xf numFmtId="165" fontId="0" fillId="2" borderId="24" xfId="0" applyNumberFormat="1" applyFill="1" applyBorder="1" applyAlignment="1">
      <alignment horizontal="center" vertical="center"/>
    </xf>
    <xf numFmtId="165" fontId="0" fillId="2" borderId="23" xfId="0" applyNumberForma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0" fillId="2" borderId="25" xfId="0" applyFill="1" applyBorder="1"/>
    <xf numFmtId="0" fontId="0" fillId="3" borderId="8" xfId="0" applyFill="1" applyBorder="1" applyAlignment="1">
      <alignment horizontal="center" vertical="center"/>
    </xf>
    <xf numFmtId="164" fontId="0" fillId="3" borderId="13" xfId="0" applyNumberFormat="1" applyFill="1" applyBorder="1" applyAlignment="1">
      <alignment horizontal="center" vertical="center"/>
    </xf>
    <xf numFmtId="0" fontId="4" fillId="2" borderId="0" xfId="0" applyFont="1" applyFill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5" fontId="4" fillId="2" borderId="0" xfId="0" applyNumberFormat="1" applyFont="1" applyFill="1"/>
    <xf numFmtId="0" fontId="4" fillId="2" borderId="0" xfId="0" applyFont="1" applyFill="1" applyAlignment="1">
      <alignment horizontal="center" vertical="center"/>
    </xf>
    <xf numFmtId="165" fontId="4" fillId="2" borderId="0" xfId="0" applyNumberFormat="1" applyFont="1" applyFill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/>
    <xf numFmtId="0" fontId="8" fillId="2" borderId="4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49" fontId="8" fillId="2" borderId="20" xfId="0" applyNumberFormat="1" applyFont="1" applyFill="1" applyBorder="1" applyAlignment="1">
      <alignment horizontal="center" vertical="center" wrapText="1"/>
    </xf>
    <xf numFmtId="49" fontId="8" fillId="2" borderId="5" xfId="0" applyNumberFormat="1" applyFont="1" applyFill="1" applyBorder="1" applyAlignment="1">
      <alignment horizontal="center" vertical="center" wrapText="1"/>
    </xf>
    <xf numFmtId="165" fontId="3" fillId="2" borderId="0" xfId="0" applyNumberFormat="1" applyFont="1" applyFill="1"/>
    <xf numFmtId="0" fontId="2" fillId="2" borderId="0" xfId="0" applyFont="1" applyFill="1" applyAlignment="1">
      <alignment horizontal="center" vertical="center"/>
    </xf>
    <xf numFmtId="0" fontId="9" fillId="2" borderId="0" xfId="2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center"/>
    </xf>
    <xf numFmtId="0" fontId="0" fillId="0" borderId="35" xfId="0" applyBorder="1" applyAlignment="1">
      <alignment vertical="top" wrapText="1"/>
    </xf>
    <xf numFmtId="0" fontId="2" fillId="0" borderId="35" xfId="0" applyFont="1" applyBorder="1" applyAlignment="1">
      <alignment vertical="center"/>
    </xf>
    <xf numFmtId="0" fontId="9" fillId="2" borderId="0" xfId="2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165" fontId="0" fillId="2" borderId="3" xfId="0" applyNumberFormat="1" applyFill="1" applyBorder="1" applyAlignment="1">
      <alignment horizontal="center" vertical="center"/>
    </xf>
    <xf numFmtId="9" fontId="0" fillId="2" borderId="45" xfId="0" applyNumberFormat="1" applyFill="1" applyBorder="1" applyAlignment="1">
      <alignment horizontal="center" vertical="center"/>
    </xf>
    <xf numFmtId="0" fontId="0" fillId="0" borderId="0" xfId="0" applyAlignment="1">
      <alignment wrapText="1"/>
    </xf>
    <xf numFmtId="0" fontId="9" fillId="2" borderId="0" xfId="2" applyFill="1" applyAlignment="1"/>
    <xf numFmtId="0" fontId="2" fillId="4" borderId="8" xfId="0" applyFont="1" applyFill="1" applyBorder="1" applyAlignment="1" applyProtection="1">
      <alignment horizontal="center" vertical="center"/>
      <protection locked="0"/>
    </xf>
    <xf numFmtId="0" fontId="2" fillId="4" borderId="28" xfId="0" applyFont="1" applyFill="1" applyBorder="1" applyAlignment="1" applyProtection="1">
      <alignment horizontal="center" vertical="center"/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  <protection locked="0"/>
    </xf>
    <xf numFmtId="0" fontId="8" fillId="3" borderId="11" xfId="0" applyFont="1" applyFill="1" applyBorder="1"/>
    <xf numFmtId="0" fontId="8" fillId="3" borderId="12" xfId="0" applyFont="1" applyFill="1" applyBorder="1"/>
    <xf numFmtId="0" fontId="8" fillId="2" borderId="6" xfId="0" applyFont="1" applyFill="1" applyBorder="1"/>
    <xf numFmtId="0" fontId="8" fillId="2" borderId="7" xfId="0" applyFont="1" applyFill="1" applyBorder="1"/>
    <xf numFmtId="0" fontId="8" fillId="2" borderId="11" xfId="0" applyFont="1" applyFill="1" applyBorder="1"/>
    <xf numFmtId="0" fontId="8" fillId="2" borderId="12" xfId="0" applyFont="1" applyFill="1" applyBorder="1"/>
    <xf numFmtId="0" fontId="2" fillId="3" borderId="4" xfId="0" applyFont="1" applyFill="1" applyBorder="1" applyAlignment="1">
      <alignment horizontal="left" vertical="center"/>
    </xf>
    <xf numFmtId="0" fontId="2" fillId="3" borderId="2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" fillId="2" borderId="18" xfId="0" applyFont="1" applyFill="1" applyBorder="1" applyAlignment="1">
      <alignment vertical="center"/>
    </xf>
    <xf numFmtId="0" fontId="8" fillId="2" borderId="19" xfId="0" applyFont="1" applyFill="1" applyBorder="1" applyAlignment="1">
      <alignment vertical="center"/>
    </xf>
    <xf numFmtId="0" fontId="8" fillId="2" borderId="14" xfId="0" applyFont="1" applyFill="1" applyBorder="1" applyAlignment="1">
      <alignment vertical="center"/>
    </xf>
    <xf numFmtId="0" fontId="8" fillId="2" borderId="15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8" fillId="2" borderId="17" xfId="0" applyFont="1" applyFill="1" applyBorder="1" applyAlignment="1">
      <alignment vertical="center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2" fillId="4" borderId="10" xfId="0" applyFont="1" applyFill="1" applyBorder="1" applyAlignment="1">
      <alignment horizontal="left" vertical="center"/>
    </xf>
    <xf numFmtId="0" fontId="8" fillId="2" borderId="4" xfId="0" applyFont="1" applyFill="1" applyBorder="1"/>
    <xf numFmtId="0" fontId="8" fillId="2" borderId="5" xfId="0" applyFont="1" applyFill="1" applyBorder="1"/>
    <xf numFmtId="0" fontId="8" fillId="3" borderId="6" xfId="0" applyFont="1" applyFill="1" applyBorder="1"/>
    <xf numFmtId="0" fontId="8" fillId="3" borderId="7" xfId="0" applyFont="1" applyFill="1" applyBorder="1"/>
    <xf numFmtId="0" fontId="2" fillId="0" borderId="4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32" xfId="0" applyFont="1" applyBorder="1" applyAlignment="1">
      <alignment horizontal="center" vertical="center" textRotation="255"/>
    </xf>
    <xf numFmtId="0" fontId="2" fillId="0" borderId="9" xfId="0" applyFont="1" applyBorder="1" applyAlignment="1">
      <alignment horizontal="center" vertical="center" textRotation="255"/>
    </xf>
    <xf numFmtId="0" fontId="2" fillId="0" borderId="11" xfId="0" applyFont="1" applyBorder="1" applyAlignment="1">
      <alignment horizontal="center" vertical="center" textRotation="255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2" fillId="0" borderId="6" xfId="0" applyFont="1" applyBorder="1" applyAlignment="1">
      <alignment horizontal="center" vertical="center" textRotation="255"/>
    </xf>
    <xf numFmtId="0" fontId="2" fillId="0" borderId="29" xfId="0" applyFont="1" applyBorder="1" applyAlignment="1">
      <alignment horizontal="center" vertical="center" textRotation="255"/>
    </xf>
    <xf numFmtId="0" fontId="0" fillId="0" borderId="33" xfId="0" applyBorder="1" applyAlignment="1">
      <alignment horizontal="left" wrapText="1"/>
    </xf>
    <xf numFmtId="0" fontId="0" fillId="0" borderId="34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2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37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40" xfId="0" applyBorder="1" applyAlignment="1">
      <alignment horizontal="left" vertical="top" wrapText="1"/>
    </xf>
    <xf numFmtId="0" fontId="0" fillId="0" borderId="41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2" fillId="0" borderId="36" xfId="0" applyFont="1" applyBorder="1" applyAlignment="1">
      <alignment horizontal="center" vertical="center" textRotation="255" wrapText="1"/>
    </xf>
    <xf numFmtId="0" fontId="2" fillId="0" borderId="39" xfId="0" applyFont="1" applyBorder="1" applyAlignment="1">
      <alignment horizontal="center" vertical="center" textRotation="255" wrapText="1"/>
    </xf>
    <xf numFmtId="0" fontId="2" fillId="0" borderId="42" xfId="0" applyFont="1" applyBorder="1" applyAlignment="1">
      <alignment horizontal="center" vertical="center" textRotation="255" wrapText="1"/>
    </xf>
  </cellXfs>
  <cellStyles count="3">
    <cellStyle name="Köprü" xfId="2" builtinId="8"/>
    <cellStyle name="Normal" xfId="0" builtinId="0"/>
    <cellStyle name="Yüzde" xfId="1" builtinId="5"/>
  </cellStyles>
  <dxfs count="10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79B"/>
      <color rgb="FFFFE181"/>
      <color rgb="FFC6EFCE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590550</xdr:colOff>
      <xdr:row>1</xdr:row>
      <xdr:rowOff>19049</xdr:rowOff>
    </xdr:from>
    <xdr:to>
      <xdr:col>13</xdr:col>
      <xdr:colOff>19050</xdr:colOff>
      <xdr:row>3</xdr:row>
      <xdr:rowOff>28574</xdr:rowOff>
    </xdr:to>
    <xdr:sp macro="[0]!SinaVeriCek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9DEF3339-69A1-8EAE-8B08-CC51DDF62740}"/>
            </a:ext>
          </a:extLst>
        </xdr:cNvPr>
        <xdr:cNvSpPr/>
      </xdr:nvSpPr>
      <xdr:spPr>
        <a:xfrm>
          <a:off x="9001125" y="219074"/>
          <a:ext cx="1352550" cy="39052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Sina'dan</a:t>
          </a:r>
          <a:r>
            <a:rPr lang="tr-TR" sz="1100" baseline="0"/>
            <a:t> veri çek</a:t>
          </a:r>
          <a:endParaRPr lang="tr-TR" sz="1100"/>
        </a:p>
      </xdr:txBody>
    </xdr:sp>
    <xdr:clientData/>
  </xdr:twoCellAnchor>
  <xdr:twoCellAnchor>
    <xdr:from>
      <xdr:col>10</xdr:col>
      <xdr:colOff>590550</xdr:colOff>
      <xdr:row>3</xdr:row>
      <xdr:rowOff>190499</xdr:rowOff>
    </xdr:from>
    <xdr:to>
      <xdr:col>13</xdr:col>
      <xdr:colOff>19050</xdr:colOff>
      <xdr:row>5</xdr:row>
      <xdr:rowOff>180974</xdr:rowOff>
    </xdr:to>
    <xdr:sp macro="[0]!HypVeriCek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AB9E71A1-8DA9-4013-8FCA-E21DDDEAAA86}"/>
            </a:ext>
          </a:extLst>
        </xdr:cNvPr>
        <xdr:cNvSpPr/>
      </xdr:nvSpPr>
      <xdr:spPr>
        <a:xfrm>
          <a:off x="9001125" y="771524"/>
          <a:ext cx="1352550" cy="39052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HYP'den</a:t>
          </a:r>
          <a:r>
            <a:rPr lang="tr-TR" sz="1100" baseline="0"/>
            <a:t> veri çek</a:t>
          </a:r>
          <a:endParaRPr lang="tr-TR" sz="1100"/>
        </a:p>
      </xdr:txBody>
    </xdr:sp>
    <xdr:clientData/>
  </xdr:twoCellAnchor>
  <xdr:twoCellAnchor>
    <xdr:from>
      <xdr:col>4</xdr:col>
      <xdr:colOff>200025</xdr:colOff>
      <xdr:row>0</xdr:row>
      <xdr:rowOff>190500</xdr:rowOff>
    </xdr:from>
    <xdr:to>
      <xdr:col>5</xdr:col>
      <xdr:colOff>704850</xdr:colOff>
      <xdr:row>3</xdr:row>
      <xdr:rowOff>0</xdr:rowOff>
    </xdr:to>
    <xdr:sp macro="[0]!Module1.KullanimKilavuzu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74FC1389-EAB8-4ECE-B5FF-C7B43FDD7054}"/>
            </a:ext>
          </a:extLst>
        </xdr:cNvPr>
        <xdr:cNvSpPr/>
      </xdr:nvSpPr>
      <xdr:spPr>
        <a:xfrm>
          <a:off x="3400425" y="190500"/>
          <a:ext cx="1352550" cy="3905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Nasıl Kullanılır ?</a:t>
          </a:r>
        </a:p>
      </xdr:txBody>
    </xdr:sp>
    <xdr:clientData/>
  </xdr:twoCellAnchor>
  <xdr:twoCellAnchor editAs="oneCell">
    <xdr:from>
      <xdr:col>4</xdr:col>
      <xdr:colOff>0</xdr:colOff>
      <xdr:row>26</xdr:row>
      <xdr:rowOff>123825</xdr:rowOff>
    </xdr:from>
    <xdr:to>
      <xdr:col>10</xdr:col>
      <xdr:colOff>371475</xdr:colOff>
      <xdr:row>28</xdr:row>
      <xdr:rowOff>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F2CAFFEA-4ED1-9A7D-788F-497E813A9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00400" y="6953250"/>
          <a:ext cx="5581650" cy="285750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285750</xdr:colOff>
      <xdr:row>19</xdr:row>
      <xdr:rowOff>180975</xdr:rowOff>
    </xdr:from>
    <xdr:to>
      <xdr:col>10</xdr:col>
      <xdr:colOff>390525</xdr:colOff>
      <xdr:row>27</xdr:row>
      <xdr:rowOff>171450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7A543ECB-0249-BBBD-D6EF-E5FDF7E7D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96325" y="5505450"/>
          <a:ext cx="104775" cy="1695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E1F8A-FACE-452E-B3D3-CC6CA7EAF5E4}">
  <sheetPr codeName="Sayfa1"/>
  <dimension ref="A1:AB48"/>
  <sheetViews>
    <sheetView tabSelected="1" workbookViewId="0">
      <selection activeCell="Q9" sqref="Q9"/>
    </sheetView>
  </sheetViews>
  <sheetFormatPr defaultRowHeight="15" x14ac:dyDescent="0.25"/>
  <cols>
    <col min="1" max="1" width="5.85546875" style="1" customWidth="1"/>
    <col min="2" max="3" width="14.7109375" style="1" customWidth="1"/>
    <col min="4" max="6" width="12.7109375" style="2" customWidth="1"/>
    <col min="7" max="7" width="16.42578125" style="2" customWidth="1"/>
    <col min="8" max="9" width="13.42578125" style="1" customWidth="1"/>
    <col min="10" max="10" width="9.42578125" style="2" customWidth="1"/>
    <col min="11" max="11" width="9.85546875" style="1" customWidth="1"/>
    <col min="12" max="12" width="9.5703125" style="1" customWidth="1"/>
    <col min="13" max="13" width="9.42578125" style="2" customWidth="1"/>
    <col min="14" max="17" width="9.140625" style="1"/>
    <col min="18" max="21" width="9.140625" style="39"/>
    <col min="22" max="22" width="11" style="39" customWidth="1"/>
    <col min="23" max="24" width="9.140625" style="39"/>
    <col min="25" max="25" width="9.140625" style="3"/>
    <col min="26" max="16384" width="9.140625" style="1"/>
  </cols>
  <sheetData>
    <row r="1" spans="1:28" ht="15.75" thickBot="1" x14ac:dyDescent="0.3"/>
    <row r="2" spans="1:28" x14ac:dyDescent="0.25">
      <c r="B2" s="81" t="s">
        <v>89</v>
      </c>
      <c r="C2" s="82"/>
      <c r="D2" s="58" t="s">
        <v>92</v>
      </c>
      <c r="F2" s="52"/>
      <c r="G2" s="52"/>
      <c r="K2" s="57"/>
      <c r="M2" s="1"/>
    </row>
    <row r="3" spans="1:28" x14ac:dyDescent="0.25">
      <c r="B3" s="83" t="s">
        <v>90</v>
      </c>
      <c r="C3" s="84"/>
      <c r="D3" s="59">
        <v>2026</v>
      </c>
      <c r="F3" s="46"/>
    </row>
    <row r="4" spans="1:28" ht="15.75" thickBot="1" x14ac:dyDescent="0.3">
      <c r="B4" s="79" t="s">
        <v>91</v>
      </c>
      <c r="C4" s="80"/>
      <c r="D4" s="60">
        <v>326767</v>
      </c>
      <c r="F4" s="52"/>
      <c r="G4" s="52"/>
      <c r="K4" s="57"/>
      <c r="M4" s="1"/>
    </row>
    <row r="5" spans="1:28" ht="15.75" thickBot="1" x14ac:dyDescent="0.3">
      <c r="P5" s="3"/>
      <c r="Q5" s="3"/>
      <c r="R5" s="3"/>
      <c r="S5" s="3"/>
      <c r="T5" s="3"/>
      <c r="U5" s="3"/>
      <c r="V5" s="3"/>
      <c r="W5" s="3"/>
      <c r="X5" s="3"/>
      <c r="Z5" s="3"/>
      <c r="AA5" s="3"/>
      <c r="AB5" s="3"/>
    </row>
    <row r="6" spans="1:28" ht="15.75" thickBot="1" x14ac:dyDescent="0.3">
      <c r="B6" s="69" t="s">
        <v>84</v>
      </c>
      <c r="C6" s="70"/>
      <c r="D6" s="62" t="s">
        <v>12</v>
      </c>
      <c r="P6" s="3"/>
      <c r="Q6" s="3"/>
      <c r="R6" s="3"/>
      <c r="S6" s="3"/>
      <c r="T6" s="3"/>
      <c r="U6" s="3"/>
      <c r="V6" s="3"/>
      <c r="W6" s="3"/>
      <c r="X6" s="3"/>
      <c r="Z6" s="3"/>
      <c r="AA6" s="3"/>
      <c r="AB6" s="3"/>
    </row>
    <row r="7" spans="1:28" ht="15.75" thickBot="1" x14ac:dyDescent="0.3">
      <c r="P7" s="3"/>
      <c r="Q7" s="3"/>
      <c r="R7" s="3"/>
      <c r="S7" s="3"/>
      <c r="T7" s="3"/>
      <c r="U7" s="3"/>
      <c r="V7" s="3"/>
      <c r="W7" s="3"/>
      <c r="X7" s="3"/>
      <c r="Z7" s="3"/>
      <c r="AA7" s="3"/>
      <c r="AB7" s="3"/>
    </row>
    <row r="8" spans="1:28" ht="63" customHeight="1" thickBot="1" x14ac:dyDescent="0.3">
      <c r="B8" s="71"/>
      <c r="C8" s="72"/>
      <c r="D8" s="40" t="s">
        <v>1</v>
      </c>
      <c r="E8" s="41" t="s">
        <v>2</v>
      </c>
      <c r="F8" s="42" t="s">
        <v>36</v>
      </c>
      <c r="G8" s="41" t="s">
        <v>4</v>
      </c>
      <c r="H8" s="42" t="s">
        <v>37</v>
      </c>
      <c r="I8" s="42" t="s">
        <v>38</v>
      </c>
      <c r="J8" s="43" t="s">
        <v>43</v>
      </c>
      <c r="K8" s="42" t="s">
        <v>88</v>
      </c>
      <c r="L8" s="42" t="s">
        <v>39</v>
      </c>
      <c r="M8" s="43" t="s">
        <v>40</v>
      </c>
      <c r="N8" s="27"/>
      <c r="O8" s="45"/>
      <c r="P8" s="53"/>
      <c r="Q8" s="33" t="s">
        <v>85</v>
      </c>
      <c r="R8" s="32" t="s">
        <v>44</v>
      </c>
      <c r="S8" s="33" t="s">
        <v>7</v>
      </c>
      <c r="T8" s="33" t="s">
        <v>6</v>
      </c>
      <c r="U8" s="33" t="s">
        <v>42</v>
      </c>
      <c r="V8" s="33" t="s">
        <v>41</v>
      </c>
      <c r="W8" s="3"/>
      <c r="X8" s="3"/>
      <c r="Z8" s="3"/>
      <c r="AA8" s="3"/>
      <c r="AB8" s="3"/>
    </row>
    <row r="9" spans="1:28" ht="22.5" customHeight="1" x14ac:dyDescent="0.25">
      <c r="A9" s="38" t="s">
        <v>45</v>
      </c>
      <c r="B9" s="75" t="s">
        <v>0</v>
      </c>
      <c r="C9" s="76"/>
      <c r="D9" s="4">
        <f>VLOOKUP("*"&amp;"Diyabet"&amp;"*"&amp;"Tarama"&amp;"*",'Data - Sina'!$C$3:$F$17,2,0)</f>
        <v>14</v>
      </c>
      <c r="E9" s="5">
        <f>IF(D6="Hayır",VLOOKUP($B9,'Data - Sina'!$C$3:$F$17,3,0),Q9)</f>
        <v>23</v>
      </c>
      <c r="F9" s="5">
        <f>VLOOKUP($B9,'Data - Sina'!$C$3:$F$17,4,0)</f>
        <v>36</v>
      </c>
      <c r="G9" s="5" t="str">
        <f>IF(I9&gt;=90%,"Tamamlandı","Tamamlanmadı")</f>
        <v>Tamamlandı</v>
      </c>
      <c r="H9" s="6">
        <f>E9/D9</f>
        <v>1.6428571428571428</v>
      </c>
      <c r="I9" s="6">
        <f>(E9+F9)/D9</f>
        <v>4.2142857142857144</v>
      </c>
      <c r="J9" s="7">
        <f>IF(I9&gt;=40%,U9,R9)</f>
        <v>1.05</v>
      </c>
      <c r="K9" s="20"/>
      <c r="L9" s="6">
        <f>+(K9+F9+E9)/D9</f>
        <v>4.2142857142857144</v>
      </c>
      <c r="M9" s="23">
        <f t="shared" ref="M9:M20" si="0">IF(L9&gt;=40%,V9,R9)</f>
        <v>1.05</v>
      </c>
      <c r="N9" s="28"/>
      <c r="P9" s="3"/>
      <c r="Q9" s="35">
        <f>VLOOKUP("*"&amp;"Diyabet"&amp;"*"&amp;"Tarama"&amp;"*",'Data - Hyp'!$B$2:$C$16,2,0)</f>
        <v>23</v>
      </c>
      <c r="R9" s="34">
        <v>0.99399999999999999</v>
      </c>
      <c r="S9" s="35">
        <v>1</v>
      </c>
      <c r="T9" s="36">
        <v>1.05</v>
      </c>
      <c r="U9" s="36">
        <f>IF(I9&gt;=90%,T9,IF(I9&gt;=40%,1+(T9-S9)/50*(I9-40%)*100,R9))</f>
        <v>1.05</v>
      </c>
      <c r="V9" s="34">
        <f>IF(L9&gt;=90%,T9,IF(L9&gt;=40%,1+(T9-S9)/50*(L9-40%)*100,R9))</f>
        <v>1.05</v>
      </c>
      <c r="W9" s="3"/>
      <c r="X9" s="3"/>
      <c r="Z9" s="3"/>
      <c r="AA9" s="3"/>
      <c r="AB9" s="3"/>
    </row>
    <row r="10" spans="1:28" ht="22.5" customHeight="1" x14ac:dyDescent="0.25">
      <c r="A10" s="38" t="s">
        <v>46</v>
      </c>
      <c r="B10" s="77" t="s">
        <v>35</v>
      </c>
      <c r="C10" s="78"/>
      <c r="D10" s="8">
        <f>VLOOKUP($B10,'Data - Sina'!$C$3:$F$17,2,0)</f>
        <v>28</v>
      </c>
      <c r="E10" s="9">
        <f>IF(D6="Hayır",VLOOKUP($B10,'Data - Sina'!$C$3:$F$17,3,0),Q10)</f>
        <v>22</v>
      </c>
      <c r="F10" s="9">
        <f>VLOOKUP($B10,'Data - Sina'!$C$3:$F$17,4,0)</f>
        <v>25</v>
      </c>
      <c r="G10" s="9" t="str">
        <f t="shared" ref="G10:G20" si="1">IF(I10&gt;=90%,"Tamamlandı","Tamamlanmadı")</f>
        <v>Tamamlandı</v>
      </c>
      <c r="H10" s="10">
        <f t="shared" ref="H10:H20" si="2">E10/D10</f>
        <v>0.7857142857142857</v>
      </c>
      <c r="I10" s="10">
        <f t="shared" ref="I10:I20" si="3">(E10+F10)/D10</f>
        <v>1.6785714285714286</v>
      </c>
      <c r="J10" s="11">
        <f>IF(I10&gt;=50%,U10,R10)</f>
        <v>1.0248999999999999</v>
      </c>
      <c r="K10" s="21"/>
      <c r="L10" s="10">
        <f t="shared" ref="L10:L20" si="4">+(K10+F10+E10)/D10</f>
        <v>1.6785714285714286</v>
      </c>
      <c r="M10" s="24">
        <f t="shared" si="0"/>
        <v>1.0248999999999999</v>
      </c>
      <c r="N10" s="28"/>
      <c r="P10" s="3"/>
      <c r="Q10" s="35">
        <f>VLOOKUP("*"&amp;"Diyabet"&amp;"*"&amp;"İzlem"&amp;"*",'Data - Hyp'!$B$2:$C$16,2,0)</f>
        <v>22</v>
      </c>
      <c r="R10" s="34">
        <v>0.98870999999999998</v>
      </c>
      <c r="S10" s="35">
        <v>1</v>
      </c>
      <c r="T10" s="36">
        <v>1.0248999999999999</v>
      </c>
      <c r="U10" s="36">
        <f>IF(I10&gt;=90%,T10,IF(I10&gt;=50%,1+(T10-S10)/40*(I10-50%)*100,R10))</f>
        <v>1.0248999999999999</v>
      </c>
      <c r="V10" s="34">
        <f>IF(L10&gt;=90%,T10,IF(L10&gt;=50%,1+(T10-S10)/40*(L10-50%)*100,R10))</f>
        <v>1.0248999999999999</v>
      </c>
      <c r="W10" s="3"/>
      <c r="X10" s="3"/>
      <c r="Z10" s="3"/>
      <c r="AA10" s="3"/>
      <c r="AB10" s="3"/>
    </row>
    <row r="11" spans="1:28" ht="22.5" customHeight="1" x14ac:dyDescent="0.25">
      <c r="A11" s="38" t="s">
        <v>45</v>
      </c>
      <c r="B11" s="77" t="s">
        <v>27</v>
      </c>
      <c r="C11" s="78"/>
      <c r="D11" s="8">
        <f>VLOOKUP($B11,'Data - Sina'!$C$3:$F$17,2,0)</f>
        <v>67</v>
      </c>
      <c r="E11" s="9">
        <f>IF(D6="Hayır",VLOOKUP($B11,'Data - Sina'!$C$3:$F$17,3,0),Q11)</f>
        <v>53</v>
      </c>
      <c r="F11" s="9">
        <f>VLOOKUP($B11,'Data - Sina'!$C$3:$F$17,4,0)</f>
        <v>9</v>
      </c>
      <c r="G11" s="9" t="str">
        <f t="shared" si="1"/>
        <v>Tamamlandı</v>
      </c>
      <c r="H11" s="10">
        <f t="shared" si="2"/>
        <v>0.79104477611940294</v>
      </c>
      <c r="I11" s="10">
        <f t="shared" si="3"/>
        <v>0.92537313432835822</v>
      </c>
      <c r="J11" s="11">
        <f>IF(I11&gt;=40%,U11,R11)</f>
        <v>1.05</v>
      </c>
      <c r="K11" s="21"/>
      <c r="L11" s="10">
        <f t="shared" si="4"/>
        <v>0.92537313432835822</v>
      </c>
      <c r="M11" s="24">
        <f t="shared" si="0"/>
        <v>1.05</v>
      </c>
      <c r="N11" s="28"/>
      <c r="P11" s="3"/>
      <c r="Q11" s="35">
        <f>VLOOKUP("*"&amp;"Hipertansiyon"&amp;"*"&amp;"Tarama"&amp;"*",'Data - Hyp'!$B$2:$C$16,2,0)</f>
        <v>53</v>
      </c>
      <c r="R11" s="34">
        <v>0.99399999999999999</v>
      </c>
      <c r="S11" s="35">
        <v>1</v>
      </c>
      <c r="T11" s="36">
        <v>1.05</v>
      </c>
      <c r="U11" s="36">
        <f>IF(I11&gt;=90%,T11,IF(I11&gt;=40%,1+(T11-S11)/50*(I11-40%)*100,R11))</f>
        <v>1.05</v>
      </c>
      <c r="V11" s="34">
        <f>IF(L11&gt;=90%,T11,IF(L11&gt;=40%,1+(T11-S11)/50*(L11-40%)*100,M11))</f>
        <v>1.05</v>
      </c>
      <c r="W11" s="3"/>
      <c r="X11" s="3"/>
      <c r="Z11" s="3"/>
      <c r="AA11" s="3"/>
      <c r="AB11" s="3"/>
    </row>
    <row r="12" spans="1:28" ht="22.5" customHeight="1" x14ac:dyDescent="0.25">
      <c r="A12" s="38" t="s">
        <v>46</v>
      </c>
      <c r="B12" s="77" t="s">
        <v>3</v>
      </c>
      <c r="C12" s="78"/>
      <c r="D12" s="8">
        <f>VLOOKUP($B12,'Data - Sina'!$C$3:$F$17,2,0)</f>
        <v>42</v>
      </c>
      <c r="E12" s="9">
        <f>IF(D6="Hayır",VLOOKUP($B12,'Data - Sina'!$C$3:$F$17,3,0),Q12)</f>
        <v>30</v>
      </c>
      <c r="F12" s="9">
        <f>VLOOKUP($B12,'Data - Sina'!$C$3:$F$17,4,0)</f>
        <v>7</v>
      </c>
      <c r="G12" s="9" t="str">
        <f t="shared" si="1"/>
        <v>Tamamlanmadı</v>
      </c>
      <c r="H12" s="10">
        <f t="shared" si="2"/>
        <v>0.7142857142857143</v>
      </c>
      <c r="I12" s="10">
        <f t="shared" si="3"/>
        <v>0.88095238095238093</v>
      </c>
      <c r="J12" s="11">
        <f>IF(I12&gt;=50%,U12,R12)</f>
        <v>1.0237142857142856</v>
      </c>
      <c r="K12" s="21">
        <v>1</v>
      </c>
      <c r="L12" s="10">
        <f t="shared" si="4"/>
        <v>0.90476190476190477</v>
      </c>
      <c r="M12" s="24">
        <f t="shared" si="0"/>
        <v>1.0248999999999999</v>
      </c>
      <c r="N12" s="28"/>
      <c r="P12" s="3"/>
      <c r="Q12" s="35">
        <f>VLOOKUP("*"&amp;"Hipertansiyon"&amp;"*"&amp;"İzlem"&amp;"*",'Data - Hyp'!$B$2:$C$16,2,0)</f>
        <v>30</v>
      </c>
      <c r="R12" s="34">
        <v>0.98870999999999998</v>
      </c>
      <c r="S12" s="35">
        <v>1</v>
      </c>
      <c r="T12" s="36">
        <v>1.0248999999999999</v>
      </c>
      <c r="U12" s="36">
        <f>IF(I12&gt;=90%,T12,IF(I12&gt;=50%,1+(T12-S12)/40*(I12-50%)*100,0))</f>
        <v>1.0237142857142856</v>
      </c>
      <c r="V12" s="34">
        <f>IF(L12&gt;=90%,T12,IF(L12&gt;=50%,1+(T12-S12)/40*(L12-50%)*100,R12))</f>
        <v>1.0248999999999999</v>
      </c>
      <c r="W12" s="3"/>
      <c r="X12" s="3"/>
      <c r="Z12" s="3"/>
      <c r="AA12" s="3"/>
      <c r="AB12" s="3"/>
    </row>
    <row r="13" spans="1:28" ht="22.5" customHeight="1" x14ac:dyDescent="0.25">
      <c r="A13" s="38" t="s">
        <v>46</v>
      </c>
      <c r="B13" s="77" t="s">
        <v>28</v>
      </c>
      <c r="C13" s="78"/>
      <c r="D13" s="8">
        <f>VLOOKUP($B13,'Data - Sina'!$C$3:$F$17,2,0)</f>
        <v>18</v>
      </c>
      <c r="E13" s="9">
        <f>VLOOKUP($B13,'Data - Sina'!$C$3:$F$17,3,0)</f>
        <v>2</v>
      </c>
      <c r="F13" s="9">
        <f>VLOOKUP($B13,'Data - Sina'!$C$3:$F$17,4,0)</f>
        <v>0</v>
      </c>
      <c r="G13" s="9" t="str">
        <f t="shared" si="1"/>
        <v>Tamamlanmadı</v>
      </c>
      <c r="H13" s="10">
        <f t="shared" si="2"/>
        <v>0.1111111111111111</v>
      </c>
      <c r="I13" s="10">
        <f t="shared" si="3"/>
        <v>0.1111111111111111</v>
      </c>
      <c r="J13" s="11">
        <f>IF(I13&gt;=50%,U13,R13)</f>
        <v>0.99399999999999999</v>
      </c>
      <c r="K13" s="21">
        <v>15</v>
      </c>
      <c r="L13" s="10">
        <f t="shared" si="4"/>
        <v>0.94444444444444442</v>
      </c>
      <c r="M13" s="25">
        <f t="shared" si="0"/>
        <v>1.03</v>
      </c>
      <c r="N13" s="28"/>
      <c r="P13" s="3"/>
      <c r="Q13" s="35"/>
      <c r="R13" s="34">
        <v>0.99399999999999999</v>
      </c>
      <c r="S13" s="35">
        <v>1</v>
      </c>
      <c r="T13" s="36">
        <v>1.03</v>
      </c>
      <c r="U13" s="36">
        <f>IF(I13&gt;=90%,T13,IF(I13&gt;=50%,1+(T13-S13)/40*(I13-50%)*100,R13))</f>
        <v>0.99399999999999999</v>
      </c>
      <c r="V13" s="34">
        <f>IF(L13&gt;=90%,T13,IF(L13&gt;=50%,1+(T13-S13)/40*(L13-50%)*100,R13))</f>
        <v>1.03</v>
      </c>
      <c r="W13" s="3"/>
      <c r="X13" s="3"/>
      <c r="Z13" s="3"/>
      <c r="AA13" s="3"/>
      <c r="AB13" s="3"/>
    </row>
    <row r="14" spans="1:28" ht="22.5" customHeight="1" x14ac:dyDescent="0.25">
      <c r="A14" s="38" t="s">
        <v>45</v>
      </c>
      <c r="B14" s="77" t="s">
        <v>29</v>
      </c>
      <c r="C14" s="78"/>
      <c r="D14" s="8">
        <f>VLOOKUP($B14,'Data - Sina'!$C$3:$F$17,2,0)</f>
        <v>15</v>
      </c>
      <c r="E14" s="9">
        <f>VLOOKUP($B14,'Data - Sina'!$C$3:$F$17,3,0)</f>
        <v>4</v>
      </c>
      <c r="F14" s="9">
        <f>VLOOKUP($B14,'Data - Sina'!$C$3:$F$17,4,0)</f>
        <v>0</v>
      </c>
      <c r="G14" s="9" t="str">
        <f t="shared" si="1"/>
        <v>Tamamlanmadı</v>
      </c>
      <c r="H14" s="10">
        <f t="shared" si="2"/>
        <v>0.26666666666666666</v>
      </c>
      <c r="I14" s="10">
        <f t="shared" si="3"/>
        <v>0.26666666666666666</v>
      </c>
      <c r="J14" s="11">
        <f>IF(I14&gt;=50%,U14,R14)</f>
        <v>0.99399999999999999</v>
      </c>
      <c r="K14" s="21"/>
      <c r="L14" s="10">
        <f t="shared" si="4"/>
        <v>0.26666666666666666</v>
      </c>
      <c r="M14" s="24">
        <f t="shared" si="0"/>
        <v>0.99399999999999999</v>
      </c>
      <c r="N14" s="28"/>
      <c r="P14" s="3"/>
      <c r="Q14" s="35"/>
      <c r="R14" s="34">
        <v>0.99399999999999999</v>
      </c>
      <c r="S14" s="35">
        <v>1</v>
      </c>
      <c r="T14" s="36">
        <v>1.0309999999999999</v>
      </c>
      <c r="U14" s="36">
        <f>IF(I14&gt;=90%,T14,IF(I14&gt;=40%,1+(T14-S14)/50*(I14-40%)*100,R14))</f>
        <v>0.99399999999999999</v>
      </c>
      <c r="V14" s="34">
        <f>IF(L14&gt;=90%,T14,IF(L14&gt;=40%,1+(T14-S14)/50*(L14-40%)*100,R14))</f>
        <v>0.99399999999999999</v>
      </c>
      <c r="W14" s="3"/>
      <c r="X14" s="44"/>
      <c r="Z14" s="3"/>
      <c r="AA14" s="3"/>
      <c r="AB14" s="3"/>
    </row>
    <row r="15" spans="1:28" ht="22.5" customHeight="1" x14ac:dyDescent="0.25">
      <c r="A15" s="38" t="s">
        <v>46</v>
      </c>
      <c r="B15" s="77" t="s">
        <v>30</v>
      </c>
      <c r="C15" s="78"/>
      <c r="D15" s="8">
        <f>VLOOKUP($B15,'Data - Sina'!$C$3:$F$17,2,0)</f>
        <v>6</v>
      </c>
      <c r="E15" s="9">
        <f>VLOOKUP($B15,'Data - Sina'!$C$3:$F$17,3,0)</f>
        <v>3</v>
      </c>
      <c r="F15" s="9">
        <f>VLOOKUP($B15,'Data - Sina'!$C$3:$F$17,4,0)</f>
        <v>1</v>
      </c>
      <c r="G15" s="9" t="str">
        <f t="shared" si="1"/>
        <v>Tamamlanmadı</v>
      </c>
      <c r="H15" s="10">
        <f t="shared" si="2"/>
        <v>0.5</v>
      </c>
      <c r="I15" s="10">
        <f t="shared" si="3"/>
        <v>0.66666666666666663</v>
      </c>
      <c r="J15" s="11">
        <f>IF(I15&gt;=50%,U15,R15)</f>
        <v>1.0125</v>
      </c>
      <c r="K15" s="21"/>
      <c r="L15" s="10">
        <f t="shared" si="4"/>
        <v>0.66666666666666663</v>
      </c>
      <c r="M15" s="24">
        <f t="shared" si="0"/>
        <v>1.0125</v>
      </c>
      <c r="N15" s="28"/>
      <c r="P15" s="3"/>
      <c r="Q15" s="35"/>
      <c r="R15" s="34">
        <v>0.99399999999999999</v>
      </c>
      <c r="S15" s="35">
        <v>1</v>
      </c>
      <c r="T15" s="36">
        <v>1.03</v>
      </c>
      <c r="U15" s="36">
        <f>IF(I15&gt;=90%,T15,IF(I15&gt;=50%,1+(T15-S15)/40*(I15-50%)*100,R15))</f>
        <v>1.0125</v>
      </c>
      <c r="V15" s="34">
        <f>IF(L15&gt;=90%,T15,IF(L15&gt;=50%,1+(T15-S15)/40*(L15-50%)*100,R15))</f>
        <v>1.0125</v>
      </c>
      <c r="W15" s="3"/>
      <c r="X15" s="3"/>
      <c r="Z15" s="3"/>
      <c r="AA15" s="3"/>
      <c r="AB15" s="3"/>
    </row>
    <row r="16" spans="1:28" ht="22.5" customHeight="1" x14ac:dyDescent="0.25">
      <c r="A16" s="38" t="s">
        <v>45</v>
      </c>
      <c r="B16" s="77" t="s">
        <v>31</v>
      </c>
      <c r="C16" s="78"/>
      <c r="D16" s="8">
        <f>VLOOKUP($B16,'Data - Sina'!$C$3:$F$17,2,0)</f>
        <v>16</v>
      </c>
      <c r="E16" s="9">
        <f>IF(D6="Hayır",VLOOKUP($B16,'Data - Sina'!$C$3:$F$17,3,0),Q16)</f>
        <v>13</v>
      </c>
      <c r="F16" s="9">
        <f>VLOOKUP($B16,'Data - Sina'!$C$3:$F$17,4,0)</f>
        <v>1</v>
      </c>
      <c r="G16" s="9" t="str">
        <f t="shared" si="1"/>
        <v>Tamamlanmadı</v>
      </c>
      <c r="H16" s="10">
        <f t="shared" si="2"/>
        <v>0.8125</v>
      </c>
      <c r="I16" s="10">
        <f t="shared" si="3"/>
        <v>0.875</v>
      </c>
      <c r="J16" s="11">
        <f>IF(I16&gt;=40%,U16,R16)</f>
        <v>1.0475000000000001</v>
      </c>
      <c r="K16" s="21">
        <v>1</v>
      </c>
      <c r="L16" s="10">
        <f t="shared" si="4"/>
        <v>0.9375</v>
      </c>
      <c r="M16" s="24">
        <f t="shared" si="0"/>
        <v>1.05</v>
      </c>
      <c r="N16" s="28"/>
      <c r="P16" s="3"/>
      <c r="Q16" s="35">
        <f>VLOOKUP("*"&amp;"kardiyovasküler"&amp;"*"&amp;"Tarama"&amp;"*",'Data - Hyp'!$B$2:$C$16,2,0)</f>
        <v>13</v>
      </c>
      <c r="R16" s="34">
        <v>0.99399999999999999</v>
      </c>
      <c r="S16" s="35">
        <v>1</v>
      </c>
      <c r="T16" s="36">
        <v>1.05</v>
      </c>
      <c r="U16" s="36">
        <f>IF(I16&gt;=90%,T16,IF(I16&gt;=40%,1+(T16-S16)/50*(I16-40%)*100,R16))</f>
        <v>1.0475000000000001</v>
      </c>
      <c r="V16" s="34">
        <f>IF(L16&gt;=90%,T16,IF(L16&gt;=40%,1+(T16-S16)/50*(L16-40%)*100,R16))</f>
        <v>1.05</v>
      </c>
      <c r="W16" s="3"/>
      <c r="X16" s="3"/>
      <c r="Z16" s="3"/>
      <c r="AA16" s="3"/>
      <c r="AB16" s="3"/>
    </row>
    <row r="17" spans="1:28" ht="22.5" customHeight="1" x14ac:dyDescent="0.25">
      <c r="A17" s="38" t="s">
        <v>46</v>
      </c>
      <c r="B17" s="77" t="s">
        <v>47</v>
      </c>
      <c r="C17" s="78"/>
      <c r="D17" s="8">
        <f>VLOOKUP($B17,'Data - Sina'!$C$3:$F$17,2,0)</f>
        <v>12</v>
      </c>
      <c r="E17" s="9">
        <f>IF(D6="Hayır",VLOOKUP($B17,'Data - Sina'!$C$3:$F$17,3,0),Q17)</f>
        <v>26</v>
      </c>
      <c r="F17" s="9">
        <f>VLOOKUP($B17,'Data - Sina'!$C$3:$F$17,4,0)</f>
        <v>70</v>
      </c>
      <c r="G17" s="9" t="str">
        <f t="shared" si="1"/>
        <v>Tamamlandı</v>
      </c>
      <c r="H17" s="10">
        <f t="shared" si="2"/>
        <v>2.1666666666666665</v>
      </c>
      <c r="I17" s="10">
        <f t="shared" si="3"/>
        <v>8</v>
      </c>
      <c r="J17" s="11">
        <f>IF(I17&gt;=50%,U17,R17)</f>
        <v>1.0248999999999999</v>
      </c>
      <c r="K17" s="21"/>
      <c r="L17" s="10">
        <f t="shared" si="4"/>
        <v>8</v>
      </c>
      <c r="M17" s="24">
        <f t="shared" si="0"/>
        <v>1.0248999999999999</v>
      </c>
      <c r="N17" s="28"/>
      <c r="P17" s="3"/>
      <c r="Q17" s="35">
        <f>VLOOKUP("*"&amp;"Kardiyovasküler"&amp;"*"&amp;"İzlem"&amp;"*",'Data - Hyp'!$B$2:$C$16,2,0)</f>
        <v>26</v>
      </c>
      <c r="R17" s="34">
        <v>0.98870999999999998</v>
      </c>
      <c r="S17" s="35">
        <v>1</v>
      </c>
      <c r="T17" s="36">
        <v>1.0248999999999999</v>
      </c>
      <c r="U17" s="36">
        <f>IF(I17&gt;=90%,T17,IF(I17&gt;=50%,1+(T17-S17)/40*(I17-50%)*100,R17))</f>
        <v>1.0248999999999999</v>
      </c>
      <c r="V17" s="34">
        <f>IF(L17&gt;=90%,T17,IF(L17&gt;=50%,1+(T17-S17)/40*(L17-50%)*100,R17))</f>
        <v>1.0248999999999999</v>
      </c>
      <c r="W17" s="3"/>
      <c r="X17" s="3"/>
      <c r="Z17" s="3"/>
      <c r="AA17" s="3"/>
      <c r="AB17" s="3"/>
    </row>
    <row r="18" spans="1:28" ht="22.5" customHeight="1" x14ac:dyDescent="0.25">
      <c r="A18" s="38" t="s">
        <v>45</v>
      </c>
      <c r="B18" s="77" t="s">
        <v>32</v>
      </c>
      <c r="C18" s="78"/>
      <c r="D18" s="8">
        <f>VLOOKUP($B18,'Data - Sina'!$C$3:$F$17,2,0)</f>
        <v>70</v>
      </c>
      <c r="E18" s="9">
        <f>IF(D6="Hayır",VLOOKUP($B18,'Data - Sina'!$C$3:$F$17,3,0),Q18)</f>
        <v>48</v>
      </c>
      <c r="F18" s="9">
        <f>VLOOKUP($B18,'Data - Sina'!$C$3:$F$17,4,0)</f>
        <v>15</v>
      </c>
      <c r="G18" s="9" t="str">
        <f t="shared" si="1"/>
        <v>Tamamlandı</v>
      </c>
      <c r="H18" s="10">
        <f t="shared" si="2"/>
        <v>0.68571428571428572</v>
      </c>
      <c r="I18" s="10">
        <f t="shared" si="3"/>
        <v>0.9</v>
      </c>
      <c r="J18" s="11">
        <f>IF(I18&gt;=40%,U18,R18)</f>
        <v>1.0169999999999999</v>
      </c>
      <c r="K18" s="21"/>
      <c r="L18" s="10">
        <f t="shared" si="4"/>
        <v>0.9</v>
      </c>
      <c r="M18" s="24">
        <f t="shared" si="0"/>
        <v>1.0169999999999999</v>
      </c>
      <c r="N18" s="28"/>
      <c r="P18" s="3"/>
      <c r="Q18" s="35">
        <f>VLOOKUP("*"&amp;"Obezite"&amp;"*"&amp;"Tarama"&amp;"*",'Data - Hyp'!$B$2:$C$16,2,0)</f>
        <v>48</v>
      </c>
      <c r="R18" s="34">
        <v>0.99399999999999999</v>
      </c>
      <c r="S18" s="35">
        <v>1</v>
      </c>
      <c r="T18" s="36">
        <v>1.0169999999999999</v>
      </c>
      <c r="U18" s="36">
        <f>IF(I18&gt;=90%,T18,IF(I18&gt;=40%,1+(T18-S18)/50*(I18-40%)*100,R18))</f>
        <v>1.0169999999999999</v>
      </c>
      <c r="V18" s="34">
        <f>IF(L18&gt;=90%,T18,IF(L18&gt;=40%,1+(T18-S18)/50*(L18-40%)*100,R18))</f>
        <v>1.0169999999999999</v>
      </c>
      <c r="W18" s="3"/>
      <c r="X18" s="3"/>
      <c r="Z18" s="3"/>
      <c r="AA18" s="3"/>
      <c r="AB18" s="3"/>
    </row>
    <row r="19" spans="1:28" ht="22.5" customHeight="1" x14ac:dyDescent="0.25">
      <c r="A19" s="38" t="s">
        <v>46</v>
      </c>
      <c r="B19" s="77" t="s">
        <v>34</v>
      </c>
      <c r="C19" s="78"/>
      <c r="D19" s="8">
        <f>VLOOKUP($B19,'Data - Sina'!$C$3:$F$17,2,0)</f>
        <v>29</v>
      </c>
      <c r="E19" s="9">
        <f>IF(D6="Hayır",VLOOKUP($B19,'Data - Sina'!$C$3:$F$17,3,0),Q19)</f>
        <v>12</v>
      </c>
      <c r="F19" s="9">
        <f>VLOOKUP($B19,'Data - Sina'!$C$3:$F$17,4,0)</f>
        <v>0</v>
      </c>
      <c r="G19" s="9" t="str">
        <f t="shared" si="1"/>
        <v>Tamamlanmadı</v>
      </c>
      <c r="H19" s="10">
        <f t="shared" si="2"/>
        <v>0.41379310344827586</v>
      </c>
      <c r="I19" s="10">
        <f t="shared" si="3"/>
        <v>0.41379310344827586</v>
      </c>
      <c r="J19" s="11">
        <f>IF(I19&gt;=50%,U19,R19)</f>
        <v>0.98870999999999998</v>
      </c>
      <c r="K19" s="21">
        <v>15</v>
      </c>
      <c r="L19" s="10">
        <f t="shared" si="4"/>
        <v>0.93103448275862066</v>
      </c>
      <c r="M19" s="24">
        <f t="shared" si="0"/>
        <v>1.0248999999999999</v>
      </c>
      <c r="N19" s="28"/>
      <c r="P19" s="3"/>
      <c r="Q19" s="35">
        <f>VLOOKUP("*"&amp;"Obezite"&amp;"*"&amp;"İzlem"&amp;"*",'Data - Hyp'!$B$2:$C$16,2,0)</f>
        <v>12</v>
      </c>
      <c r="R19" s="34">
        <v>0.98870999999999998</v>
      </c>
      <c r="S19" s="35">
        <v>1</v>
      </c>
      <c r="T19" s="36">
        <v>1.0248999999999999</v>
      </c>
      <c r="U19" s="36">
        <f>IF(I19&gt;=90%,T19,IF(I19&gt;=50%,1+(T19-S19)/40*(I19-50%)*100,R19))</f>
        <v>0.98870999999999998</v>
      </c>
      <c r="V19" s="34">
        <f>IF(L19&gt;=90%,T19,IF(L19&gt;=50%,1+(T19-S19)/40*(L19-50%)*100,R19))</f>
        <v>1.0248999999999999</v>
      </c>
      <c r="W19" s="3"/>
      <c r="X19" s="3"/>
      <c r="Z19" s="3"/>
      <c r="AA19" s="3"/>
      <c r="AB19" s="3"/>
    </row>
    <row r="20" spans="1:28" ht="22.5" customHeight="1" thickBot="1" x14ac:dyDescent="0.3">
      <c r="A20" s="38" t="s">
        <v>45</v>
      </c>
      <c r="B20" s="73" t="s">
        <v>33</v>
      </c>
      <c r="C20" s="74"/>
      <c r="D20" s="12">
        <f>VLOOKUP($B20,'Data - Sina'!$C$3:$F$17,2,0)</f>
        <v>12</v>
      </c>
      <c r="E20" s="13">
        <f>IF(D6="Hayır",VLOOKUP($B20,'Data - Sina'!$C$3:$F$17,3,0),Q20)</f>
        <v>10</v>
      </c>
      <c r="F20" s="13">
        <f>VLOOKUP($B20,'Data - Sina'!$C$3:$F$17,4,0)</f>
        <v>4</v>
      </c>
      <c r="G20" s="13" t="str">
        <f t="shared" si="1"/>
        <v>Tamamlandı</v>
      </c>
      <c r="H20" s="14">
        <f t="shared" si="2"/>
        <v>0.83333333333333337</v>
      </c>
      <c r="I20" s="14">
        <f t="shared" si="3"/>
        <v>1.1666666666666667</v>
      </c>
      <c r="J20" s="15">
        <f>IF(I20&gt;=50%,U20,R20)</f>
        <v>1.0248999999999999</v>
      </c>
      <c r="K20" s="22"/>
      <c r="L20" s="14">
        <f t="shared" si="4"/>
        <v>1.1666666666666667</v>
      </c>
      <c r="M20" s="26">
        <f t="shared" si="0"/>
        <v>1.0248999999999999</v>
      </c>
      <c r="N20" s="28"/>
      <c r="P20" s="3"/>
      <c r="Q20" s="35">
        <f>VLOOKUP("*"&amp;"Yaşlı"&amp;"*"&amp;"İzlem"&amp;"*",'Data - Hyp'!$B$2:$C$16,2,0)</f>
        <v>10</v>
      </c>
      <c r="R20" s="34">
        <v>0.98870999999999998</v>
      </c>
      <c r="S20" s="35">
        <v>1</v>
      </c>
      <c r="T20" s="36">
        <v>1.0248999999999999</v>
      </c>
      <c r="U20" s="36">
        <f>IF(I20&gt;=90%,T20,IF(I20&gt;=50%,1+(T20-S20)/40*(I20-50%)*100,R20))</f>
        <v>1.0248999999999999</v>
      </c>
      <c r="V20" s="34">
        <f>IF(L20&gt;=90%,T20,IF(L20&gt;=50%,1+(T20-S20)/40*(L20-50%)*100,R20))</f>
        <v>1.0248999999999999</v>
      </c>
      <c r="W20" s="3"/>
      <c r="X20" s="3"/>
      <c r="Z20" s="3"/>
      <c r="AA20" s="3"/>
      <c r="AB20" s="3"/>
    </row>
    <row r="21" spans="1:28" ht="15.75" thickBot="1" x14ac:dyDescent="0.3">
      <c r="P21" s="3"/>
      <c r="Q21" s="31"/>
      <c r="R21" s="34"/>
      <c r="S21" s="35"/>
      <c r="T21" s="36"/>
      <c r="U21" s="36"/>
      <c r="V21" s="31"/>
      <c r="W21" s="3"/>
      <c r="X21" s="3"/>
      <c r="Z21" s="3"/>
      <c r="AA21" s="3"/>
      <c r="AB21" s="3"/>
    </row>
    <row r="22" spans="1:28" ht="16.5" thickBot="1" x14ac:dyDescent="0.3">
      <c r="B22" s="85" t="s">
        <v>8</v>
      </c>
      <c r="C22" s="86"/>
      <c r="D22" s="61" t="s">
        <v>101</v>
      </c>
      <c r="G22" s="37" t="str">
        <f>IF(D22="Başarılı","Tamamlandı","Tamamlanmadı")</f>
        <v>Tamamlandı</v>
      </c>
      <c r="I22" s="55"/>
      <c r="J22" s="54">
        <f>IF(D22="Başarılı",T22,R22)</f>
        <v>1.03</v>
      </c>
      <c r="P22" s="3"/>
      <c r="Q22" s="31"/>
      <c r="R22" s="34">
        <v>0.99399999999999999</v>
      </c>
      <c r="S22" s="35">
        <v>1</v>
      </c>
      <c r="T22" s="36">
        <v>1.03</v>
      </c>
      <c r="U22" s="36"/>
      <c r="V22" s="31"/>
      <c r="W22" s="3"/>
      <c r="X22" s="3"/>
      <c r="Z22" s="3"/>
      <c r="AA22" s="3"/>
      <c r="AB22" s="3"/>
    </row>
    <row r="23" spans="1:28" ht="15.75" thickBot="1" x14ac:dyDescent="0.3">
      <c r="P23" s="3"/>
      <c r="Q23" s="3"/>
      <c r="R23" s="3"/>
      <c r="S23" s="3"/>
      <c r="T23" s="3"/>
      <c r="U23" s="3"/>
      <c r="V23" s="3"/>
      <c r="W23" s="3"/>
      <c r="X23" s="3"/>
      <c r="Z23" s="3"/>
      <c r="AA23" s="3"/>
      <c r="AB23" s="3"/>
    </row>
    <row r="24" spans="1:28" ht="15.75" x14ac:dyDescent="0.25">
      <c r="B24" s="87" t="s">
        <v>5</v>
      </c>
      <c r="C24" s="88"/>
      <c r="D24" s="29">
        <v>2750</v>
      </c>
      <c r="K24" s="16"/>
      <c r="L24" s="16"/>
      <c r="M24" s="17"/>
      <c r="P24" s="3"/>
      <c r="Q24" s="3"/>
      <c r="R24" s="3"/>
      <c r="S24" s="3"/>
      <c r="T24" s="3"/>
      <c r="U24" s="3"/>
      <c r="V24" s="3"/>
      <c r="W24" s="3"/>
      <c r="X24" s="3"/>
      <c r="Z24" s="3"/>
      <c r="AA24" s="3"/>
      <c r="AB24" s="3"/>
    </row>
    <row r="25" spans="1:28" ht="16.5" thickBot="1" x14ac:dyDescent="0.3">
      <c r="B25" s="63" t="s">
        <v>86</v>
      </c>
      <c r="C25" s="64"/>
      <c r="D25" s="30">
        <f>IF(D24="","",4000/D24)</f>
        <v>1.4545454545454546</v>
      </c>
      <c r="K25" s="16"/>
      <c r="L25" s="16"/>
      <c r="M25" s="17"/>
      <c r="Q25" s="3"/>
      <c r="R25" s="3"/>
      <c r="S25" s="3"/>
      <c r="T25" s="3"/>
      <c r="U25" s="3"/>
      <c r="V25" s="3"/>
      <c r="W25" s="3"/>
      <c r="X25" s="3"/>
      <c r="Z25" s="3"/>
      <c r="AA25" s="3"/>
      <c r="AB25" s="3"/>
    </row>
    <row r="26" spans="1:28" ht="15.75" thickBot="1" x14ac:dyDescent="0.3">
      <c r="Q26" s="3"/>
      <c r="R26" s="3"/>
      <c r="S26" s="3"/>
      <c r="T26" s="3"/>
      <c r="U26" s="3"/>
      <c r="V26" s="3"/>
      <c r="W26" s="3"/>
      <c r="X26" s="3"/>
      <c r="Z26" s="3"/>
      <c r="AA26" s="3"/>
    </row>
    <row r="27" spans="1:28" ht="15.75" x14ac:dyDescent="0.25">
      <c r="B27" s="65" t="s">
        <v>43</v>
      </c>
      <c r="C27" s="66"/>
      <c r="D27" s="19">
        <f>PRODUCT(J9:J22)</f>
        <v>1.3187144893377667</v>
      </c>
    </row>
    <row r="28" spans="1:28" ht="16.5" thickBot="1" x14ac:dyDescent="0.3">
      <c r="B28" s="67" t="s">
        <v>87</v>
      </c>
      <c r="C28" s="68"/>
      <c r="D28" s="18">
        <f>PRODUCT(M9:M20)*J22</f>
        <v>1.4215174048086738</v>
      </c>
    </row>
    <row r="29" spans="1:28" x14ac:dyDescent="0.25">
      <c r="B29" s="16"/>
      <c r="C29" s="16"/>
      <c r="D29" s="17"/>
    </row>
    <row r="30" spans="1:28" x14ac:dyDescent="0.25">
      <c r="B30" s="16"/>
      <c r="C30" s="16"/>
      <c r="D30" s="17"/>
    </row>
    <row r="32" spans="1:28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  <row r="48" spans="4:4" x14ac:dyDescent="0.25">
      <c r="D48" s="1"/>
    </row>
  </sheetData>
  <sheetProtection sheet="1" objects="1" scenarios="1"/>
  <mergeCells count="22">
    <mergeCell ref="B4:C4"/>
    <mergeCell ref="B2:C2"/>
    <mergeCell ref="B3:C3"/>
    <mergeCell ref="B22:C22"/>
    <mergeCell ref="B24:C24"/>
    <mergeCell ref="B19:C19"/>
    <mergeCell ref="B25:C25"/>
    <mergeCell ref="B27:C27"/>
    <mergeCell ref="B28:C28"/>
    <mergeCell ref="B6:C6"/>
    <mergeCell ref="B8:C8"/>
    <mergeCell ref="B20:C20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</mergeCells>
  <conditionalFormatting sqref="B9:C20 G9:G20 K9:K20 G22">
    <cfRule type="expression" dxfId="9" priority="5">
      <formula>$G9="Tamamlanmadı"</formula>
    </cfRule>
    <cfRule type="expression" dxfId="8" priority="6">
      <formula>$G9="Tamamlandı"</formula>
    </cfRule>
  </conditionalFormatting>
  <conditionalFormatting sqref="B22:D22">
    <cfRule type="expression" dxfId="7" priority="19">
      <formula>$D$22="Başarılı"</formula>
    </cfRule>
    <cfRule type="expression" dxfId="6" priority="20">
      <formula>$D$22="Başarısız"</formula>
    </cfRule>
  </conditionalFormatting>
  <conditionalFormatting sqref="B27:D27">
    <cfRule type="expression" dxfId="5" priority="1">
      <formula>$D$27&lt;$D$25</formula>
    </cfRule>
    <cfRule type="expression" dxfId="4" priority="2">
      <formula>$D$27&gt;=$D$25</formula>
    </cfRule>
  </conditionalFormatting>
  <conditionalFormatting sqref="B28:D28">
    <cfRule type="expression" dxfId="3" priority="17">
      <formula>$D$28&lt;$D$25</formula>
    </cfRule>
    <cfRule type="expression" dxfId="2" priority="18">
      <formula>$D$28&gt;=$D$25</formula>
    </cfRule>
  </conditionalFormatting>
  <conditionalFormatting sqref="L9:L20">
    <cfRule type="expression" dxfId="1" priority="3">
      <formula>$L9&gt;=90%</formula>
    </cfRule>
    <cfRule type="expression" dxfId="0" priority="4">
      <formula>$L9&lt;90%</formula>
    </cfRule>
  </conditionalFormatting>
  <dataValidations count="4">
    <dataValidation type="list" allowBlank="1" showInputMessage="1" showErrorMessage="1" sqref="D6" xr:uid="{1F4B0B5B-0F39-4E42-A062-685E6FB67EBE}">
      <formula1>"Evet,Hayır"</formula1>
    </dataValidation>
    <dataValidation type="list" allowBlank="1" showInputMessage="1" showErrorMessage="1" sqref="D2" xr:uid="{86395C38-0173-4D41-9EF0-1CB6B9327945}">
      <formula1>"OCAK,SUBAT,MART,NISAN,MAYIS,HAZIRAN,TEMMUZ,AGUSTOS,EYLUL,EKIM,KASIM,ARALIK"</formula1>
    </dataValidation>
    <dataValidation type="list" allowBlank="1" showInputMessage="1" showErrorMessage="1" sqref="D3" xr:uid="{983DBC0C-D95B-4F6B-834F-A4E7DDD06196}">
      <formula1>"2025,2026"</formula1>
    </dataValidation>
    <dataValidation type="list" allowBlank="1" showInputMessage="1" showErrorMessage="1" sqref="D22" xr:uid="{A83F6A54-9268-43AB-ACC8-1C5A60D4373C}">
      <formula1>"Başarılı,Başarısız"</formula1>
    </dataValidation>
  </dataValidations>
  <pageMargins left="0.7" right="0.7" top="0.75" bottom="0.75" header="0.3" footer="0.3"/>
  <pageSetup paperSize="9" orientation="portrait" r:id="rId1"/>
  <ignoredErrors>
    <ignoredError sqref="J10:J11 J16:J18 U18:V18 U16:V16 V11 U10 U17:V17 U14:V15 E1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27D66-2490-46DA-967A-22F19D4F1538}">
  <sheetPr codeName="Sayfa2"/>
  <dimension ref="B2:I17"/>
  <sheetViews>
    <sheetView topLeftCell="A4" workbookViewId="0">
      <selection activeCell="B2" sqref="B2:I17"/>
    </sheetView>
  </sheetViews>
  <sheetFormatPr defaultRowHeight="15" x14ac:dyDescent="0.25"/>
  <cols>
    <col min="2" max="2" width="33.5703125" customWidth="1"/>
    <col min="3" max="3" width="29.140625" bestFit="1" customWidth="1"/>
    <col min="4" max="6" width="5" customWidth="1"/>
  </cols>
  <sheetData>
    <row r="2" spans="2:9" x14ac:dyDescent="0.25">
      <c r="B2" t="s">
        <v>9</v>
      </c>
      <c r="C2" t="s">
        <v>2</v>
      </c>
    </row>
    <row r="3" spans="2:9" x14ac:dyDescent="0.25">
      <c r="B3" t="s">
        <v>10</v>
      </c>
      <c r="C3" t="s">
        <v>22</v>
      </c>
      <c r="D3">
        <v>12</v>
      </c>
      <c r="E3">
        <v>21</v>
      </c>
      <c r="F3">
        <v>70</v>
      </c>
      <c r="G3" t="s">
        <v>63</v>
      </c>
      <c r="H3" t="s">
        <v>64</v>
      </c>
      <c r="I3" t="s">
        <v>12</v>
      </c>
    </row>
    <row r="4" spans="2:9" x14ac:dyDescent="0.25">
      <c r="B4" t="s">
        <v>10</v>
      </c>
      <c r="C4" t="s">
        <v>11</v>
      </c>
      <c r="D4">
        <v>14</v>
      </c>
      <c r="E4">
        <v>20</v>
      </c>
      <c r="F4">
        <v>36</v>
      </c>
      <c r="G4" t="s">
        <v>52</v>
      </c>
      <c r="H4" t="s">
        <v>53</v>
      </c>
      <c r="I4" t="s">
        <v>12</v>
      </c>
    </row>
    <row r="5" spans="2:9" x14ac:dyDescent="0.25">
      <c r="B5" t="s">
        <v>10</v>
      </c>
      <c r="C5" t="s">
        <v>13</v>
      </c>
      <c r="D5">
        <v>28</v>
      </c>
      <c r="E5">
        <v>19</v>
      </c>
      <c r="F5">
        <v>25</v>
      </c>
      <c r="G5" t="s">
        <v>54</v>
      </c>
      <c r="H5" t="s">
        <v>55</v>
      </c>
      <c r="I5" t="s">
        <v>12</v>
      </c>
    </row>
    <row r="6" spans="2:9" x14ac:dyDescent="0.25">
      <c r="B6" t="s">
        <v>10</v>
      </c>
      <c r="C6" t="s">
        <v>23</v>
      </c>
      <c r="D6">
        <v>70</v>
      </c>
      <c r="E6">
        <v>39</v>
      </c>
      <c r="F6">
        <v>15</v>
      </c>
      <c r="G6" t="s">
        <v>65</v>
      </c>
      <c r="H6" t="s">
        <v>66</v>
      </c>
      <c r="I6" t="s">
        <v>12</v>
      </c>
    </row>
    <row r="7" spans="2:9" x14ac:dyDescent="0.25">
      <c r="B7" t="s">
        <v>10</v>
      </c>
      <c r="C7" t="s">
        <v>14</v>
      </c>
      <c r="D7">
        <v>67</v>
      </c>
      <c r="E7">
        <v>46</v>
      </c>
      <c r="F7">
        <v>9</v>
      </c>
      <c r="G7" t="s">
        <v>56</v>
      </c>
      <c r="H7" t="s">
        <v>57</v>
      </c>
      <c r="I7" t="s">
        <v>12</v>
      </c>
    </row>
    <row r="8" spans="2:9" x14ac:dyDescent="0.25">
      <c r="B8" t="s">
        <v>10</v>
      </c>
      <c r="C8" t="s">
        <v>15</v>
      </c>
      <c r="D8">
        <v>42</v>
      </c>
      <c r="E8">
        <v>23</v>
      </c>
      <c r="F8">
        <v>7</v>
      </c>
      <c r="G8" t="s">
        <v>58</v>
      </c>
      <c r="H8" t="s">
        <v>59</v>
      </c>
      <c r="I8" t="s">
        <v>12</v>
      </c>
    </row>
    <row r="9" spans="2:9" x14ac:dyDescent="0.25">
      <c r="B9" t="s">
        <v>10</v>
      </c>
      <c r="C9" t="s">
        <v>25</v>
      </c>
      <c r="D9">
        <v>12</v>
      </c>
      <c r="E9">
        <v>9</v>
      </c>
      <c r="F9">
        <v>4</v>
      </c>
      <c r="G9" t="s">
        <v>49</v>
      </c>
      <c r="H9" t="s">
        <v>50</v>
      </c>
      <c r="I9" t="s">
        <v>12</v>
      </c>
    </row>
    <row r="10" spans="2:9" x14ac:dyDescent="0.25">
      <c r="B10" t="s">
        <v>10</v>
      </c>
      <c r="C10" t="s">
        <v>18</v>
      </c>
      <c r="D10">
        <v>6</v>
      </c>
      <c r="E10">
        <v>3</v>
      </c>
      <c r="F10">
        <v>1</v>
      </c>
      <c r="G10" t="s">
        <v>48</v>
      </c>
      <c r="H10" t="s">
        <v>61</v>
      </c>
      <c r="I10" t="s">
        <v>12</v>
      </c>
    </row>
    <row r="11" spans="2:9" x14ac:dyDescent="0.25">
      <c r="B11" t="s">
        <v>10</v>
      </c>
      <c r="C11" t="s">
        <v>21</v>
      </c>
      <c r="D11">
        <v>16</v>
      </c>
      <c r="E11">
        <v>12</v>
      </c>
      <c r="F11">
        <v>1</v>
      </c>
      <c r="G11" t="s">
        <v>49</v>
      </c>
      <c r="H11" t="s">
        <v>62</v>
      </c>
      <c r="I11" t="s">
        <v>12</v>
      </c>
    </row>
    <row r="12" spans="2:9" x14ac:dyDescent="0.25">
      <c r="B12" t="s">
        <v>10</v>
      </c>
      <c r="C12" t="s">
        <v>16</v>
      </c>
      <c r="D12">
        <v>18</v>
      </c>
      <c r="E12">
        <v>2</v>
      </c>
      <c r="F12">
        <v>0</v>
      </c>
      <c r="G12" t="s">
        <v>60</v>
      </c>
      <c r="H12" t="s">
        <v>60</v>
      </c>
    </row>
    <row r="13" spans="2:9" x14ac:dyDescent="0.25">
      <c r="B13" t="s">
        <v>10</v>
      </c>
      <c r="C13" t="s">
        <v>17</v>
      </c>
      <c r="D13">
        <v>15</v>
      </c>
      <c r="E13">
        <v>4</v>
      </c>
      <c r="F13">
        <v>0</v>
      </c>
      <c r="G13" t="s">
        <v>51</v>
      </c>
      <c r="H13" t="s">
        <v>51</v>
      </c>
    </row>
    <row r="14" spans="2:9" x14ac:dyDescent="0.25">
      <c r="B14" t="s">
        <v>10</v>
      </c>
      <c r="C14" t="s">
        <v>19</v>
      </c>
      <c r="D14">
        <v>0</v>
      </c>
      <c r="E14">
        <v>0</v>
      </c>
      <c r="F14">
        <v>0</v>
      </c>
    </row>
    <row r="15" spans="2:9" x14ac:dyDescent="0.25">
      <c r="B15" t="s">
        <v>10</v>
      </c>
      <c r="C15" t="s">
        <v>20</v>
      </c>
      <c r="D15">
        <v>0</v>
      </c>
      <c r="E15">
        <v>0</v>
      </c>
      <c r="F15">
        <v>0</v>
      </c>
    </row>
    <row r="16" spans="2:9" x14ac:dyDescent="0.25">
      <c r="B16" t="s">
        <v>10</v>
      </c>
      <c r="C16" t="s">
        <v>24</v>
      </c>
      <c r="D16">
        <v>29</v>
      </c>
      <c r="E16">
        <v>10</v>
      </c>
      <c r="F16">
        <v>0</v>
      </c>
      <c r="G16" t="s">
        <v>67</v>
      </c>
      <c r="H16" t="s">
        <v>67</v>
      </c>
    </row>
    <row r="17" spans="2:6" x14ac:dyDescent="0.25">
      <c r="B17" t="s">
        <v>10</v>
      </c>
      <c r="C17" t="s">
        <v>26</v>
      </c>
      <c r="D17">
        <v>0</v>
      </c>
      <c r="E17">
        <v>0</v>
      </c>
      <c r="F1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67574-FDCE-4639-BD92-5B69CD1DA693}">
  <sheetPr codeName="Sayfa3"/>
  <dimension ref="B2:C16"/>
  <sheetViews>
    <sheetView workbookViewId="0">
      <selection activeCell="B2" sqref="B2"/>
    </sheetView>
  </sheetViews>
  <sheetFormatPr defaultRowHeight="15" customHeight="1" x14ac:dyDescent="0.25"/>
  <cols>
    <col min="2" max="2" width="42.7109375" bestFit="1" customWidth="1"/>
    <col min="3" max="3" width="3" bestFit="1" customWidth="1"/>
  </cols>
  <sheetData>
    <row r="2" spans="2:3" ht="15" customHeight="1" x14ac:dyDescent="0.25">
      <c r="B2" s="56" t="s">
        <v>69</v>
      </c>
      <c r="C2">
        <v>53</v>
      </c>
    </row>
    <row r="3" spans="2:3" ht="15" customHeight="1" x14ac:dyDescent="0.25">
      <c r="B3" t="s">
        <v>15</v>
      </c>
      <c r="C3">
        <v>30</v>
      </c>
    </row>
    <row r="4" spans="2:3" ht="15" customHeight="1" x14ac:dyDescent="0.25">
      <c r="B4" t="s">
        <v>70</v>
      </c>
      <c r="C4">
        <v>13</v>
      </c>
    </row>
    <row r="5" spans="2:3" ht="15" customHeight="1" x14ac:dyDescent="0.25">
      <c r="B5" t="s">
        <v>71</v>
      </c>
      <c r="C5">
        <v>26</v>
      </c>
    </row>
    <row r="6" spans="2:3" ht="15" customHeight="1" x14ac:dyDescent="0.25">
      <c r="B6" t="s">
        <v>72</v>
      </c>
      <c r="C6">
        <v>23</v>
      </c>
    </row>
    <row r="7" spans="2:3" ht="15" customHeight="1" x14ac:dyDescent="0.25">
      <c r="B7" t="s">
        <v>73</v>
      </c>
      <c r="C7">
        <v>22</v>
      </c>
    </row>
    <row r="8" spans="2:3" ht="15" customHeight="1" x14ac:dyDescent="0.25">
      <c r="B8" t="s">
        <v>74</v>
      </c>
      <c r="C8">
        <v>48</v>
      </c>
    </row>
    <row r="9" spans="2:3" ht="15" customHeight="1" x14ac:dyDescent="0.25">
      <c r="B9" t="s">
        <v>75</v>
      </c>
      <c r="C9">
        <v>12</v>
      </c>
    </row>
    <row r="10" spans="2:3" ht="15" customHeight="1" x14ac:dyDescent="0.25">
      <c r="B10" t="s">
        <v>76</v>
      </c>
      <c r="C10">
        <v>0</v>
      </c>
    </row>
    <row r="11" spans="2:3" ht="15" customHeight="1" x14ac:dyDescent="0.25">
      <c r="B11" t="s">
        <v>77</v>
      </c>
      <c r="C11">
        <v>10</v>
      </c>
    </row>
    <row r="12" spans="2:3" ht="15" customHeight="1" x14ac:dyDescent="0.25">
      <c r="B12" t="s">
        <v>78</v>
      </c>
      <c r="C12">
        <v>0</v>
      </c>
    </row>
    <row r="13" spans="2:3" ht="15" customHeight="1" x14ac:dyDescent="0.25">
      <c r="B13" t="s">
        <v>79</v>
      </c>
      <c r="C13">
        <v>0</v>
      </c>
    </row>
    <row r="14" spans="2:3" ht="15" customHeight="1" x14ac:dyDescent="0.25">
      <c r="B14" t="s">
        <v>80</v>
      </c>
      <c r="C14">
        <v>0</v>
      </c>
    </row>
    <row r="15" spans="2:3" ht="15" customHeight="1" x14ac:dyDescent="0.25">
      <c r="B15" t="s">
        <v>81</v>
      </c>
      <c r="C15">
        <v>0</v>
      </c>
    </row>
    <row r="16" spans="2:3" ht="15" customHeight="1" x14ac:dyDescent="0.25">
      <c r="B16" t="s">
        <v>82</v>
      </c>
      <c r="C1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C2C38-DBEF-4FC6-B7BB-4769373B01CA}">
  <sheetPr codeName="Sayfa4"/>
  <dimension ref="B1:T46"/>
  <sheetViews>
    <sheetView workbookViewId="0">
      <selection activeCell="J17" sqref="J17"/>
    </sheetView>
  </sheetViews>
  <sheetFormatPr defaultRowHeight="15" x14ac:dyDescent="0.25"/>
  <cols>
    <col min="1" max="1" width="3.85546875" customWidth="1"/>
  </cols>
  <sheetData>
    <row r="1" spans="2:20" ht="15.75" thickBot="1" x14ac:dyDescent="0.3"/>
    <row r="2" spans="2:20" ht="15.75" thickBot="1" x14ac:dyDescent="0.3">
      <c r="B2" s="89" t="s">
        <v>94</v>
      </c>
      <c r="C2" s="90"/>
      <c r="D2" s="90"/>
      <c r="E2" s="90"/>
      <c r="F2" s="90"/>
      <c r="G2" s="90"/>
      <c r="H2" s="90"/>
      <c r="I2" s="91"/>
      <c r="K2" s="89" t="s">
        <v>100</v>
      </c>
      <c r="L2" s="90"/>
      <c r="M2" s="90"/>
      <c r="N2" s="90"/>
      <c r="O2" s="90"/>
      <c r="P2" s="90"/>
      <c r="Q2" s="90"/>
      <c r="R2" s="91"/>
    </row>
    <row r="3" spans="2:20" ht="15.75" thickBot="1" x14ac:dyDescent="0.3"/>
    <row r="4" spans="2:20" ht="15" customHeight="1" x14ac:dyDescent="0.25">
      <c r="B4" s="101" t="s">
        <v>93</v>
      </c>
      <c r="C4" s="95" t="s">
        <v>96</v>
      </c>
      <c r="D4" s="95"/>
      <c r="E4" s="95"/>
      <c r="F4" s="95"/>
      <c r="G4" s="95"/>
      <c r="H4" s="95"/>
      <c r="I4" s="96"/>
      <c r="J4" s="48"/>
      <c r="K4" s="115" t="s">
        <v>98</v>
      </c>
      <c r="L4" s="109" t="s">
        <v>83</v>
      </c>
      <c r="M4" s="109"/>
      <c r="N4" s="109"/>
      <c r="O4" s="109"/>
      <c r="P4" s="109"/>
      <c r="Q4" s="109"/>
      <c r="R4" s="110"/>
      <c r="S4" s="49"/>
      <c r="T4" s="49"/>
    </row>
    <row r="5" spans="2:20" x14ac:dyDescent="0.25">
      <c r="B5" s="93"/>
      <c r="C5" s="97"/>
      <c r="D5" s="97"/>
      <c r="E5" s="97"/>
      <c r="F5" s="97"/>
      <c r="G5" s="97"/>
      <c r="H5" s="97"/>
      <c r="I5" s="98"/>
      <c r="J5" s="48"/>
      <c r="K5" s="116"/>
      <c r="L5" s="111"/>
      <c r="M5" s="111"/>
      <c r="N5" s="111"/>
      <c r="O5" s="111"/>
      <c r="P5" s="111"/>
      <c r="Q5" s="111"/>
      <c r="R5" s="112"/>
      <c r="S5" s="49"/>
      <c r="T5" s="49"/>
    </row>
    <row r="6" spans="2:20" x14ac:dyDescent="0.25">
      <c r="B6" s="93"/>
      <c r="C6" s="97"/>
      <c r="D6" s="97"/>
      <c r="E6" s="97"/>
      <c r="F6" s="97"/>
      <c r="G6" s="97"/>
      <c r="H6" s="97"/>
      <c r="I6" s="98"/>
      <c r="J6" s="48"/>
      <c r="K6" s="116"/>
      <c r="L6" s="111"/>
      <c r="M6" s="111"/>
      <c r="N6" s="111"/>
      <c r="O6" s="111"/>
      <c r="P6" s="111"/>
      <c r="Q6" s="111"/>
      <c r="R6" s="112"/>
      <c r="S6" s="49"/>
      <c r="T6" s="49"/>
    </row>
    <row r="7" spans="2:20" x14ac:dyDescent="0.25">
      <c r="B7" s="93"/>
      <c r="C7" s="97"/>
      <c r="D7" s="97"/>
      <c r="E7" s="97"/>
      <c r="F7" s="97"/>
      <c r="G7" s="97"/>
      <c r="H7" s="97"/>
      <c r="I7" s="98"/>
      <c r="J7" s="48"/>
      <c r="K7" s="116"/>
      <c r="L7" s="111"/>
      <c r="M7" s="111"/>
      <c r="N7" s="111"/>
      <c r="O7" s="111"/>
      <c r="P7" s="111"/>
      <c r="Q7" s="111"/>
      <c r="R7" s="112"/>
      <c r="S7" s="49"/>
      <c r="T7" s="49"/>
    </row>
    <row r="8" spans="2:20" x14ac:dyDescent="0.25">
      <c r="B8" s="93"/>
      <c r="C8" s="97"/>
      <c r="D8" s="97"/>
      <c r="E8" s="97"/>
      <c r="F8" s="97"/>
      <c r="G8" s="97"/>
      <c r="H8" s="97"/>
      <c r="I8" s="98"/>
      <c r="J8" s="48"/>
      <c r="K8" s="116"/>
      <c r="L8" s="111"/>
      <c r="M8" s="111"/>
      <c r="N8" s="111"/>
      <c r="O8" s="111"/>
      <c r="P8" s="111"/>
      <c r="Q8" s="111"/>
      <c r="R8" s="112"/>
      <c r="S8" s="49"/>
      <c r="T8" s="49"/>
    </row>
    <row r="9" spans="2:20" x14ac:dyDescent="0.25">
      <c r="B9" s="93"/>
      <c r="C9" s="97"/>
      <c r="D9" s="97"/>
      <c r="E9" s="97"/>
      <c r="F9" s="97"/>
      <c r="G9" s="97"/>
      <c r="H9" s="97"/>
      <c r="I9" s="98"/>
      <c r="J9" s="48"/>
      <c r="K9" s="116"/>
      <c r="L9" s="111"/>
      <c r="M9" s="111"/>
      <c r="N9" s="111"/>
      <c r="O9" s="111"/>
      <c r="P9" s="111"/>
      <c r="Q9" s="111"/>
      <c r="R9" s="112"/>
      <c r="S9" s="49"/>
      <c r="T9" s="49"/>
    </row>
    <row r="10" spans="2:20" x14ac:dyDescent="0.25">
      <c r="B10" s="93"/>
      <c r="C10" s="97"/>
      <c r="D10" s="97"/>
      <c r="E10" s="97"/>
      <c r="F10" s="97"/>
      <c r="G10" s="97"/>
      <c r="H10" s="97"/>
      <c r="I10" s="98"/>
      <c r="J10" s="48"/>
      <c r="K10" s="116"/>
      <c r="L10" s="111"/>
      <c r="M10" s="111"/>
      <c r="N10" s="111"/>
      <c r="O10" s="111"/>
      <c r="P10" s="111"/>
      <c r="Q10" s="111"/>
      <c r="R10" s="112"/>
      <c r="S10" s="49"/>
      <c r="T10" s="49"/>
    </row>
    <row r="11" spans="2:20" x14ac:dyDescent="0.25">
      <c r="B11" s="93"/>
      <c r="C11" s="97"/>
      <c r="D11" s="97"/>
      <c r="E11" s="97"/>
      <c r="F11" s="97"/>
      <c r="G11" s="97"/>
      <c r="H11" s="97"/>
      <c r="I11" s="98"/>
      <c r="J11" s="48"/>
      <c r="K11" s="116"/>
      <c r="L11" s="111"/>
      <c r="M11" s="111"/>
      <c r="N11" s="111"/>
      <c r="O11" s="111"/>
      <c r="P11" s="111"/>
      <c r="Q11" s="111"/>
      <c r="R11" s="112"/>
      <c r="S11" s="49"/>
      <c r="T11" s="49"/>
    </row>
    <row r="12" spans="2:20" x14ac:dyDescent="0.25">
      <c r="B12" s="93"/>
      <c r="C12" s="97"/>
      <c r="D12" s="97"/>
      <c r="E12" s="97"/>
      <c r="F12" s="97"/>
      <c r="G12" s="97"/>
      <c r="H12" s="97"/>
      <c r="I12" s="98"/>
      <c r="J12" s="48"/>
      <c r="K12" s="116"/>
      <c r="L12" s="111"/>
      <c r="M12" s="111"/>
      <c r="N12" s="111"/>
      <c r="O12" s="111"/>
      <c r="P12" s="111"/>
      <c r="Q12" s="111"/>
      <c r="R12" s="112"/>
      <c r="S12" s="49"/>
      <c r="T12" s="49"/>
    </row>
    <row r="13" spans="2:20" x14ac:dyDescent="0.25">
      <c r="B13" s="93"/>
      <c r="C13" s="97"/>
      <c r="D13" s="97"/>
      <c r="E13" s="97"/>
      <c r="F13" s="97"/>
      <c r="G13" s="97"/>
      <c r="H13" s="97"/>
      <c r="I13" s="98"/>
      <c r="J13" s="48"/>
      <c r="K13" s="116"/>
      <c r="L13" s="111"/>
      <c r="M13" s="111"/>
      <c r="N13" s="111"/>
      <c r="O13" s="111"/>
      <c r="P13" s="111"/>
      <c r="Q13" s="111"/>
      <c r="R13" s="112"/>
      <c r="S13" s="49"/>
      <c r="T13" s="49"/>
    </row>
    <row r="14" spans="2:20" x14ac:dyDescent="0.25">
      <c r="B14" s="93"/>
      <c r="C14" s="97"/>
      <c r="D14" s="97"/>
      <c r="E14" s="97"/>
      <c r="F14" s="97"/>
      <c r="G14" s="97"/>
      <c r="H14" s="97"/>
      <c r="I14" s="98"/>
      <c r="J14" s="48"/>
      <c r="K14" s="116"/>
      <c r="L14" s="111"/>
      <c r="M14" s="111"/>
      <c r="N14" s="111"/>
      <c r="O14" s="111"/>
      <c r="P14" s="111"/>
      <c r="Q14" s="111"/>
      <c r="R14" s="112"/>
      <c r="S14" s="49"/>
      <c r="T14" s="49"/>
    </row>
    <row r="15" spans="2:20" x14ac:dyDescent="0.25">
      <c r="B15" s="93"/>
      <c r="C15" s="97"/>
      <c r="D15" s="97"/>
      <c r="E15" s="97"/>
      <c r="F15" s="97"/>
      <c r="G15" s="97"/>
      <c r="H15" s="97"/>
      <c r="I15" s="98"/>
      <c r="J15" s="48"/>
      <c r="K15" s="116"/>
      <c r="L15" s="111"/>
      <c r="M15" s="111"/>
      <c r="N15" s="111"/>
      <c r="O15" s="111"/>
      <c r="P15" s="111"/>
      <c r="Q15" s="111"/>
      <c r="R15" s="112"/>
      <c r="S15" s="49"/>
      <c r="T15" s="49"/>
    </row>
    <row r="16" spans="2:20" x14ac:dyDescent="0.25">
      <c r="B16" s="93"/>
      <c r="C16" s="97"/>
      <c r="D16" s="97"/>
      <c r="E16" s="97"/>
      <c r="F16" s="97"/>
      <c r="G16" s="97"/>
      <c r="H16" s="97"/>
      <c r="I16" s="98"/>
      <c r="J16" s="48"/>
      <c r="K16" s="116"/>
      <c r="L16" s="111"/>
      <c r="M16" s="111"/>
      <c r="N16" s="111"/>
      <c r="O16" s="111"/>
      <c r="P16" s="111"/>
      <c r="Q16" s="111"/>
      <c r="R16" s="112"/>
      <c r="S16" s="49"/>
      <c r="T16" s="49"/>
    </row>
    <row r="17" spans="2:20" x14ac:dyDescent="0.25">
      <c r="B17" s="93"/>
      <c r="C17" s="97"/>
      <c r="D17" s="97"/>
      <c r="E17" s="97"/>
      <c r="F17" s="97"/>
      <c r="G17" s="97"/>
      <c r="H17" s="97"/>
      <c r="I17" s="98"/>
      <c r="J17" s="48"/>
      <c r="K17" s="116"/>
      <c r="L17" s="111"/>
      <c r="M17" s="111"/>
      <c r="N17" s="111"/>
      <c r="O17" s="111"/>
      <c r="P17" s="111"/>
      <c r="Q17" s="111"/>
      <c r="R17" s="112"/>
      <c r="S17" s="49"/>
      <c r="T17" s="49"/>
    </row>
    <row r="18" spans="2:20" x14ac:dyDescent="0.25">
      <c r="B18" s="93"/>
      <c r="C18" s="97"/>
      <c r="D18" s="97"/>
      <c r="E18" s="97"/>
      <c r="F18" s="97"/>
      <c r="G18" s="97"/>
      <c r="H18" s="97"/>
      <c r="I18" s="98"/>
      <c r="J18" s="48"/>
      <c r="K18" s="116"/>
      <c r="L18" s="111"/>
      <c r="M18" s="111"/>
      <c r="N18" s="111"/>
      <c r="O18" s="111"/>
      <c r="P18" s="111"/>
      <c r="Q18" s="111"/>
      <c r="R18" s="112"/>
      <c r="S18" s="49"/>
      <c r="T18" s="49"/>
    </row>
    <row r="19" spans="2:20" x14ac:dyDescent="0.25">
      <c r="B19" s="93"/>
      <c r="C19" s="97"/>
      <c r="D19" s="97"/>
      <c r="E19" s="97"/>
      <c r="F19" s="97"/>
      <c r="G19" s="97"/>
      <c r="H19" s="97"/>
      <c r="I19" s="98"/>
      <c r="J19" s="48"/>
      <c r="K19" s="116"/>
      <c r="L19" s="111"/>
      <c r="M19" s="111"/>
      <c r="N19" s="111"/>
      <c r="O19" s="111"/>
      <c r="P19" s="111"/>
      <c r="Q19" s="111"/>
      <c r="R19" s="112"/>
      <c r="S19" s="49"/>
      <c r="T19" s="49"/>
    </row>
    <row r="20" spans="2:20" x14ac:dyDescent="0.25">
      <c r="B20" s="93"/>
      <c r="C20" s="97"/>
      <c r="D20" s="97"/>
      <c r="E20" s="97"/>
      <c r="F20" s="97"/>
      <c r="G20" s="97"/>
      <c r="H20" s="97"/>
      <c r="I20" s="98"/>
      <c r="J20" s="48"/>
      <c r="K20" s="116"/>
      <c r="L20" s="111"/>
      <c r="M20" s="111"/>
      <c r="N20" s="111"/>
      <c r="O20" s="111"/>
      <c r="P20" s="111"/>
      <c r="Q20" s="111"/>
      <c r="R20" s="112"/>
      <c r="S20" s="49"/>
      <c r="T20" s="49"/>
    </row>
    <row r="21" spans="2:20" x14ac:dyDescent="0.25">
      <c r="B21" s="93"/>
      <c r="C21" s="97"/>
      <c r="D21" s="97"/>
      <c r="E21" s="97"/>
      <c r="F21" s="97"/>
      <c r="G21" s="97"/>
      <c r="H21" s="97"/>
      <c r="I21" s="98"/>
      <c r="J21" s="48"/>
      <c r="K21" s="116"/>
      <c r="L21" s="111"/>
      <c r="M21" s="111"/>
      <c r="N21" s="111"/>
      <c r="O21" s="111"/>
      <c r="P21" s="111"/>
      <c r="Q21" s="111"/>
      <c r="R21" s="112"/>
      <c r="S21" s="49"/>
      <c r="T21" s="49"/>
    </row>
    <row r="22" spans="2:20" x14ac:dyDescent="0.25">
      <c r="B22" s="93"/>
      <c r="C22" s="97"/>
      <c r="D22" s="97"/>
      <c r="E22" s="97"/>
      <c r="F22" s="97"/>
      <c r="G22" s="97"/>
      <c r="H22" s="97"/>
      <c r="I22" s="98"/>
      <c r="J22" s="48"/>
      <c r="K22" s="116"/>
      <c r="L22" s="111"/>
      <c r="M22" s="111"/>
      <c r="N22" s="111"/>
      <c r="O22" s="111"/>
      <c r="P22" s="111"/>
      <c r="Q22" s="111"/>
      <c r="R22" s="112"/>
      <c r="S22" s="49"/>
      <c r="T22" s="49"/>
    </row>
    <row r="23" spans="2:20" x14ac:dyDescent="0.25">
      <c r="B23" s="93"/>
      <c r="C23" s="97"/>
      <c r="D23" s="97"/>
      <c r="E23" s="97"/>
      <c r="F23" s="97"/>
      <c r="G23" s="97"/>
      <c r="H23" s="97"/>
      <c r="I23" s="98"/>
      <c r="J23" s="48"/>
      <c r="K23" s="116"/>
      <c r="L23" s="111"/>
      <c r="M23" s="111"/>
      <c r="N23" s="111"/>
      <c r="O23" s="111"/>
      <c r="P23" s="111"/>
      <c r="Q23" s="111"/>
      <c r="R23" s="112"/>
      <c r="S23" s="49"/>
      <c r="T23" s="49"/>
    </row>
    <row r="24" spans="2:20" ht="15.75" thickBot="1" x14ac:dyDescent="0.3">
      <c r="B24" s="102"/>
      <c r="C24" s="99"/>
      <c r="D24" s="99"/>
      <c r="E24" s="99"/>
      <c r="F24" s="99"/>
      <c r="G24" s="99"/>
      <c r="H24" s="99"/>
      <c r="I24" s="100"/>
      <c r="J24" s="48"/>
      <c r="K24" s="117"/>
      <c r="L24" s="113"/>
      <c r="M24" s="113"/>
      <c r="N24" s="113"/>
      <c r="O24" s="113"/>
      <c r="P24" s="113"/>
      <c r="Q24" s="113"/>
      <c r="R24" s="114"/>
      <c r="S24" s="49"/>
      <c r="T24" s="49"/>
    </row>
    <row r="25" spans="2:20" ht="15.75" thickBot="1" x14ac:dyDescent="0.3">
      <c r="B25" s="51"/>
      <c r="C25" s="50"/>
      <c r="D25" s="50"/>
      <c r="E25" s="50"/>
      <c r="F25" s="50"/>
      <c r="G25" s="50"/>
      <c r="H25" s="50"/>
      <c r="I25" s="50"/>
      <c r="J25" s="48"/>
      <c r="K25" s="48"/>
      <c r="L25" s="48"/>
      <c r="M25" s="48"/>
      <c r="N25" s="48"/>
      <c r="O25" s="48"/>
      <c r="P25" s="47"/>
      <c r="Q25" s="47"/>
      <c r="R25" s="47"/>
      <c r="S25" s="47"/>
      <c r="T25" s="47"/>
    </row>
    <row r="26" spans="2:20" ht="15" customHeight="1" x14ac:dyDescent="0.25">
      <c r="B26" s="92" t="s">
        <v>95</v>
      </c>
      <c r="C26" s="103" t="s">
        <v>97</v>
      </c>
      <c r="D26" s="103"/>
      <c r="E26" s="103"/>
      <c r="F26" s="103"/>
      <c r="G26" s="103"/>
      <c r="H26" s="103"/>
      <c r="I26" s="104"/>
      <c r="J26" s="48"/>
      <c r="K26" s="115" t="s">
        <v>99</v>
      </c>
      <c r="L26" s="109" t="s">
        <v>68</v>
      </c>
      <c r="M26" s="109"/>
      <c r="N26" s="109"/>
      <c r="O26" s="109"/>
      <c r="P26" s="109"/>
      <c r="Q26" s="109"/>
      <c r="R26" s="110"/>
      <c r="S26" s="49"/>
      <c r="T26" s="49"/>
    </row>
    <row r="27" spans="2:20" x14ac:dyDescent="0.25">
      <c r="B27" s="93"/>
      <c r="C27" s="105"/>
      <c r="D27" s="105"/>
      <c r="E27" s="105"/>
      <c r="F27" s="105"/>
      <c r="G27" s="105"/>
      <c r="H27" s="105"/>
      <c r="I27" s="106"/>
      <c r="J27" s="48"/>
      <c r="K27" s="116"/>
      <c r="L27" s="111"/>
      <c r="M27" s="111"/>
      <c r="N27" s="111"/>
      <c r="O27" s="111"/>
      <c r="P27" s="111"/>
      <c r="Q27" s="111"/>
      <c r="R27" s="112"/>
      <c r="S27" s="49"/>
      <c r="T27" s="49"/>
    </row>
    <row r="28" spans="2:20" x14ac:dyDescent="0.25">
      <c r="B28" s="93"/>
      <c r="C28" s="105"/>
      <c r="D28" s="105"/>
      <c r="E28" s="105"/>
      <c r="F28" s="105"/>
      <c r="G28" s="105"/>
      <c r="H28" s="105"/>
      <c r="I28" s="106"/>
      <c r="J28" s="48"/>
      <c r="K28" s="116"/>
      <c r="L28" s="111"/>
      <c r="M28" s="111"/>
      <c r="N28" s="111"/>
      <c r="O28" s="111"/>
      <c r="P28" s="111"/>
      <c r="Q28" s="111"/>
      <c r="R28" s="112"/>
      <c r="S28" s="49"/>
      <c r="T28" s="49"/>
    </row>
    <row r="29" spans="2:20" x14ac:dyDescent="0.25">
      <c r="B29" s="93"/>
      <c r="C29" s="105"/>
      <c r="D29" s="105"/>
      <c r="E29" s="105"/>
      <c r="F29" s="105"/>
      <c r="G29" s="105"/>
      <c r="H29" s="105"/>
      <c r="I29" s="106"/>
      <c r="J29" s="48"/>
      <c r="K29" s="116"/>
      <c r="L29" s="111"/>
      <c r="M29" s="111"/>
      <c r="N29" s="111"/>
      <c r="O29" s="111"/>
      <c r="P29" s="111"/>
      <c r="Q29" s="111"/>
      <c r="R29" s="112"/>
      <c r="S29" s="49"/>
      <c r="T29" s="49"/>
    </row>
    <row r="30" spans="2:20" x14ac:dyDescent="0.25">
      <c r="B30" s="93"/>
      <c r="C30" s="105"/>
      <c r="D30" s="105"/>
      <c r="E30" s="105"/>
      <c r="F30" s="105"/>
      <c r="G30" s="105"/>
      <c r="H30" s="105"/>
      <c r="I30" s="106"/>
      <c r="J30" s="48"/>
      <c r="K30" s="116"/>
      <c r="L30" s="111"/>
      <c r="M30" s="111"/>
      <c r="N30" s="111"/>
      <c r="O30" s="111"/>
      <c r="P30" s="111"/>
      <c r="Q30" s="111"/>
      <c r="R30" s="112"/>
      <c r="S30" s="49"/>
      <c r="T30" s="49"/>
    </row>
    <row r="31" spans="2:20" x14ac:dyDescent="0.25">
      <c r="B31" s="93"/>
      <c r="C31" s="105"/>
      <c r="D31" s="105"/>
      <c r="E31" s="105"/>
      <c r="F31" s="105"/>
      <c r="G31" s="105"/>
      <c r="H31" s="105"/>
      <c r="I31" s="106"/>
      <c r="J31" s="48"/>
      <c r="K31" s="116"/>
      <c r="L31" s="111"/>
      <c r="M31" s="111"/>
      <c r="N31" s="111"/>
      <c r="O31" s="111"/>
      <c r="P31" s="111"/>
      <c r="Q31" s="111"/>
      <c r="R31" s="112"/>
      <c r="S31" s="49"/>
      <c r="T31" s="49"/>
    </row>
    <row r="32" spans="2:20" x14ac:dyDescent="0.25">
      <c r="B32" s="93"/>
      <c r="C32" s="105"/>
      <c r="D32" s="105"/>
      <c r="E32" s="105"/>
      <c r="F32" s="105"/>
      <c r="G32" s="105"/>
      <c r="H32" s="105"/>
      <c r="I32" s="106"/>
      <c r="J32" s="48"/>
      <c r="K32" s="116"/>
      <c r="L32" s="111"/>
      <c r="M32" s="111"/>
      <c r="N32" s="111"/>
      <c r="O32" s="111"/>
      <c r="P32" s="111"/>
      <c r="Q32" s="111"/>
      <c r="R32" s="112"/>
      <c r="S32" s="49"/>
      <c r="T32" s="49"/>
    </row>
    <row r="33" spans="2:20" x14ac:dyDescent="0.25">
      <c r="B33" s="93"/>
      <c r="C33" s="105"/>
      <c r="D33" s="105"/>
      <c r="E33" s="105"/>
      <c r="F33" s="105"/>
      <c r="G33" s="105"/>
      <c r="H33" s="105"/>
      <c r="I33" s="106"/>
      <c r="J33" s="48"/>
      <c r="K33" s="116"/>
      <c r="L33" s="111"/>
      <c r="M33" s="111"/>
      <c r="N33" s="111"/>
      <c r="O33" s="111"/>
      <c r="P33" s="111"/>
      <c r="Q33" s="111"/>
      <c r="R33" s="112"/>
      <c r="S33" s="49"/>
      <c r="T33" s="49"/>
    </row>
    <row r="34" spans="2:20" x14ac:dyDescent="0.25">
      <c r="B34" s="93"/>
      <c r="C34" s="105"/>
      <c r="D34" s="105"/>
      <c r="E34" s="105"/>
      <c r="F34" s="105"/>
      <c r="G34" s="105"/>
      <c r="H34" s="105"/>
      <c r="I34" s="106"/>
      <c r="J34" s="48"/>
      <c r="K34" s="116"/>
      <c r="L34" s="111"/>
      <c r="M34" s="111"/>
      <c r="N34" s="111"/>
      <c r="O34" s="111"/>
      <c r="P34" s="111"/>
      <c r="Q34" s="111"/>
      <c r="R34" s="112"/>
      <c r="S34" s="49"/>
      <c r="T34" s="49"/>
    </row>
    <row r="35" spans="2:20" x14ac:dyDescent="0.25">
      <c r="B35" s="93"/>
      <c r="C35" s="105"/>
      <c r="D35" s="105"/>
      <c r="E35" s="105"/>
      <c r="F35" s="105"/>
      <c r="G35" s="105"/>
      <c r="H35" s="105"/>
      <c r="I35" s="106"/>
      <c r="J35" s="48"/>
      <c r="K35" s="116"/>
      <c r="L35" s="111"/>
      <c r="M35" s="111"/>
      <c r="N35" s="111"/>
      <c r="O35" s="111"/>
      <c r="P35" s="111"/>
      <c r="Q35" s="111"/>
      <c r="R35" s="112"/>
      <c r="S35" s="49"/>
      <c r="T35" s="49"/>
    </row>
    <row r="36" spans="2:20" x14ac:dyDescent="0.25">
      <c r="B36" s="93"/>
      <c r="C36" s="105"/>
      <c r="D36" s="105"/>
      <c r="E36" s="105"/>
      <c r="F36" s="105"/>
      <c r="G36" s="105"/>
      <c r="H36" s="105"/>
      <c r="I36" s="106"/>
      <c r="J36" s="48"/>
      <c r="K36" s="116"/>
      <c r="L36" s="111"/>
      <c r="M36" s="111"/>
      <c r="N36" s="111"/>
      <c r="O36" s="111"/>
      <c r="P36" s="111"/>
      <c r="Q36" s="111"/>
      <c r="R36" s="112"/>
      <c r="S36" s="49"/>
      <c r="T36" s="49"/>
    </row>
    <row r="37" spans="2:20" x14ac:dyDescent="0.25">
      <c r="B37" s="93"/>
      <c r="C37" s="105"/>
      <c r="D37" s="105"/>
      <c r="E37" s="105"/>
      <c r="F37" s="105"/>
      <c r="G37" s="105"/>
      <c r="H37" s="105"/>
      <c r="I37" s="106"/>
      <c r="J37" s="48"/>
      <c r="K37" s="116"/>
      <c r="L37" s="111"/>
      <c r="M37" s="111"/>
      <c r="N37" s="111"/>
      <c r="O37" s="111"/>
      <c r="P37" s="111"/>
      <c r="Q37" s="111"/>
      <c r="R37" s="112"/>
      <c r="S37" s="49"/>
      <c r="T37" s="49"/>
    </row>
    <row r="38" spans="2:20" x14ac:dyDescent="0.25">
      <c r="B38" s="93"/>
      <c r="C38" s="105"/>
      <c r="D38" s="105"/>
      <c r="E38" s="105"/>
      <c r="F38" s="105"/>
      <c r="G38" s="105"/>
      <c r="H38" s="105"/>
      <c r="I38" s="106"/>
      <c r="J38" s="48"/>
      <c r="K38" s="116"/>
      <c r="L38" s="111"/>
      <c r="M38" s="111"/>
      <c r="N38" s="111"/>
      <c r="O38" s="111"/>
      <c r="P38" s="111"/>
      <c r="Q38" s="111"/>
      <c r="R38" s="112"/>
      <c r="S38" s="49"/>
      <c r="T38" s="49"/>
    </row>
    <row r="39" spans="2:20" x14ac:dyDescent="0.25">
      <c r="B39" s="93"/>
      <c r="C39" s="105"/>
      <c r="D39" s="105"/>
      <c r="E39" s="105"/>
      <c r="F39" s="105"/>
      <c r="G39" s="105"/>
      <c r="H39" s="105"/>
      <c r="I39" s="106"/>
      <c r="J39" s="48"/>
      <c r="K39" s="116"/>
      <c r="L39" s="111"/>
      <c r="M39" s="111"/>
      <c r="N39" s="111"/>
      <c r="O39" s="111"/>
      <c r="P39" s="111"/>
      <c r="Q39" s="111"/>
      <c r="R39" s="112"/>
      <c r="S39" s="49"/>
      <c r="T39" s="49"/>
    </row>
    <row r="40" spans="2:20" x14ac:dyDescent="0.25">
      <c r="B40" s="93"/>
      <c r="C40" s="105"/>
      <c r="D40" s="105"/>
      <c r="E40" s="105"/>
      <c r="F40" s="105"/>
      <c r="G40" s="105"/>
      <c r="H40" s="105"/>
      <c r="I40" s="106"/>
      <c r="J40" s="48"/>
      <c r="K40" s="116"/>
      <c r="L40" s="111"/>
      <c r="M40" s="111"/>
      <c r="N40" s="111"/>
      <c r="O40" s="111"/>
      <c r="P40" s="111"/>
      <c r="Q40" s="111"/>
      <c r="R40" s="112"/>
      <c r="S40" s="49"/>
      <c r="T40" s="49"/>
    </row>
    <row r="41" spans="2:20" x14ac:dyDescent="0.25">
      <c r="B41" s="93"/>
      <c r="C41" s="105"/>
      <c r="D41" s="105"/>
      <c r="E41" s="105"/>
      <c r="F41" s="105"/>
      <c r="G41" s="105"/>
      <c r="H41" s="105"/>
      <c r="I41" s="106"/>
      <c r="J41" s="48"/>
      <c r="K41" s="116"/>
      <c r="L41" s="111"/>
      <c r="M41" s="111"/>
      <c r="N41" s="111"/>
      <c r="O41" s="111"/>
      <c r="P41" s="111"/>
      <c r="Q41" s="111"/>
      <c r="R41" s="112"/>
      <c r="S41" s="49"/>
      <c r="T41" s="49"/>
    </row>
    <row r="42" spans="2:20" x14ac:dyDescent="0.25">
      <c r="B42" s="93"/>
      <c r="C42" s="105"/>
      <c r="D42" s="105"/>
      <c r="E42" s="105"/>
      <c r="F42" s="105"/>
      <c r="G42" s="105"/>
      <c r="H42" s="105"/>
      <c r="I42" s="106"/>
      <c r="J42" s="48"/>
      <c r="K42" s="116"/>
      <c r="L42" s="111"/>
      <c r="M42" s="111"/>
      <c r="N42" s="111"/>
      <c r="O42" s="111"/>
      <c r="P42" s="111"/>
      <c r="Q42" s="111"/>
      <c r="R42" s="112"/>
      <c r="S42" s="49"/>
      <c r="T42" s="49"/>
    </row>
    <row r="43" spans="2:20" x14ac:dyDescent="0.25">
      <c r="B43" s="93"/>
      <c r="C43" s="105"/>
      <c r="D43" s="105"/>
      <c r="E43" s="105"/>
      <c r="F43" s="105"/>
      <c r="G43" s="105"/>
      <c r="H43" s="105"/>
      <c r="I43" s="106"/>
      <c r="J43" s="48"/>
      <c r="K43" s="116"/>
      <c r="L43" s="111"/>
      <c r="M43" s="111"/>
      <c r="N43" s="111"/>
      <c r="O43" s="111"/>
      <c r="P43" s="111"/>
      <c r="Q43" s="111"/>
      <c r="R43" s="112"/>
      <c r="S43" s="49"/>
      <c r="T43" s="49"/>
    </row>
    <row r="44" spans="2:20" x14ac:dyDescent="0.25">
      <c r="B44" s="93"/>
      <c r="C44" s="105"/>
      <c r="D44" s="105"/>
      <c r="E44" s="105"/>
      <c r="F44" s="105"/>
      <c r="G44" s="105"/>
      <c r="H44" s="105"/>
      <c r="I44" s="106"/>
      <c r="J44" s="48"/>
      <c r="K44" s="116"/>
      <c r="L44" s="111"/>
      <c r="M44" s="111"/>
      <c r="N44" s="111"/>
      <c r="O44" s="111"/>
      <c r="P44" s="111"/>
      <c r="Q44" s="111"/>
      <c r="R44" s="112"/>
      <c r="S44" s="49"/>
      <c r="T44" s="49"/>
    </row>
    <row r="45" spans="2:20" x14ac:dyDescent="0.25">
      <c r="B45" s="93"/>
      <c r="C45" s="105"/>
      <c r="D45" s="105"/>
      <c r="E45" s="105"/>
      <c r="F45" s="105"/>
      <c r="G45" s="105"/>
      <c r="H45" s="105"/>
      <c r="I45" s="106"/>
      <c r="J45" s="48"/>
      <c r="K45" s="116"/>
      <c r="L45" s="111"/>
      <c r="M45" s="111"/>
      <c r="N45" s="111"/>
      <c r="O45" s="111"/>
      <c r="P45" s="111"/>
      <c r="Q45" s="111"/>
      <c r="R45" s="112"/>
      <c r="S45" s="49"/>
      <c r="T45" s="49"/>
    </row>
    <row r="46" spans="2:20" ht="15.75" thickBot="1" x14ac:dyDescent="0.3">
      <c r="B46" s="94"/>
      <c r="C46" s="107"/>
      <c r="D46" s="107"/>
      <c r="E46" s="107"/>
      <c r="F46" s="107"/>
      <c r="G46" s="107"/>
      <c r="H46" s="107"/>
      <c r="I46" s="108"/>
      <c r="J46" s="48"/>
      <c r="K46" s="117"/>
      <c r="L46" s="113"/>
      <c r="M46" s="113"/>
      <c r="N46" s="113"/>
      <c r="O46" s="113"/>
      <c r="P46" s="113"/>
      <c r="Q46" s="113"/>
      <c r="R46" s="114"/>
      <c r="S46" s="49"/>
      <c r="T46" s="49"/>
    </row>
  </sheetData>
  <mergeCells count="10">
    <mergeCell ref="B2:I2"/>
    <mergeCell ref="K2:R2"/>
    <mergeCell ref="B26:B46"/>
    <mergeCell ref="C4:I24"/>
    <mergeCell ref="B4:B24"/>
    <mergeCell ref="C26:I46"/>
    <mergeCell ref="L4:R24"/>
    <mergeCell ref="L26:R46"/>
    <mergeCell ref="K4:K24"/>
    <mergeCell ref="K26:K4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93084A-3C58-4F4F-80FD-C346750864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HYP</vt:lpstr>
      <vt:lpstr>Data - Sina</vt:lpstr>
      <vt:lpstr>Data - Hyp</vt:lpstr>
      <vt:lpstr>Betikler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İzzet Sağlam</dc:creator>
  <cp:lastModifiedBy>Muhammed İzzet Sağlam</cp:lastModifiedBy>
  <dcterms:created xsi:type="dcterms:W3CDTF">2026-02-16T13:09:56Z</dcterms:created>
  <dcterms:modified xsi:type="dcterms:W3CDTF">2026-03-16T22:42:14Z</dcterms:modified>
</cp:coreProperties>
</file>